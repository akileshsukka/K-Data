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Master_List__39" sheetId="1" state="visible" r:id="rId1"/>
    <sheet xmlns:r="http://schemas.openxmlformats.org/officeDocument/2006/relationships" name="Dashboard" sheetId="2" state="visible" r:id="rId2"/>
    <sheet xmlns:r="http://schemas.openxmlformats.org/officeDocument/2006/relationships" name="Proposed Action" sheetId="3" state="visible" r:id="rId3"/>
    <sheet xmlns:r="http://schemas.openxmlformats.org/officeDocument/2006/relationships" name="Categories" sheetId="4" state="hidden" r:id="rId4"/>
  </sheets>
  <definedNames>
    <definedName name="KD_HoldSlots">Dashboard!$B$20:$H$29</definedName>
    <definedName name="KD_NASlots">Dashboard!$B$32:$H$41</definedName>
    <definedName name="KD_Highlights">Dashboard!$B$47:$H$48</definedName>
    <definedName name="KD_ReadyList">Dashboard!$C$57:$D$136</definedName>
  </definedNames>
  <calcPr calcId="191029" fullCalcOnLoad="1"/>
</workbook>
</file>

<file path=xl/styles.xml><?xml version="1.0" encoding="utf-8"?>
<styleSheet xmlns="http://schemas.openxmlformats.org/spreadsheetml/2006/main">
  <numFmts count="1">
    <numFmt numFmtId="164" formatCode="0.0%"/>
  </numFmts>
  <fonts count="25">
    <font>
      <name val="Aptos Narrow"/>
      <family val="2"/>
      <color rgb="FF000000"/>
      <sz val="11"/>
    </font>
    <font>
      <name val="Aptos Narrow"/>
      <family val="2"/>
      <sz val="8"/>
    </font>
    <font>
      <name val="Carlito"/>
      <sz val="11"/>
    </font>
    <font>
      <name val="Calibri"/>
      <family val="2"/>
      <sz val="10"/>
    </font>
    <font>
      <name val="Calibri"/>
      <family val="2"/>
      <b val="1"/>
      <color rgb="FFFFFFFF"/>
      <sz val="10"/>
    </font>
    <font>
      <name val="Calibri"/>
      <family val="2"/>
      <b val="1"/>
      <color rgb="FF0B2E59"/>
      <sz val="10"/>
    </font>
    <font>
      <name val="Calibri"/>
      <family val="2"/>
      <color rgb="FFFF0000"/>
      <sz val="10"/>
    </font>
    <font>
      <name val="Calibri"/>
      <family val="2"/>
      <b val="1"/>
      <color rgb="FFFF0000"/>
      <sz val="10"/>
    </font>
    <font>
      <name val="Calibri"/>
      <family val="2"/>
      <b val="1"/>
      <sz val="10"/>
    </font>
    <font>
      <name val="Calibri"/>
      <family val="2"/>
      <color rgb="FF000000"/>
      <sz val="10"/>
    </font>
    <font>
      <name val="Calibri"/>
      <family val="2"/>
      <b val="1"/>
      <color rgb="FF000000"/>
      <sz val="10"/>
    </font>
    <font>
      <name val="Calibri"/>
      <family val="2"/>
      <color theme="1"/>
      <sz val="10"/>
    </font>
    <font>
      <name val="Calibri"/>
      <family val="2"/>
      <color rgb="FF17365D"/>
      <sz val="10"/>
    </font>
    <font>
      <name val="Calibri"/>
      <family val="2"/>
      <b val="1"/>
      <color theme="0" tint="-0.0499893185216834"/>
      <sz val="10"/>
    </font>
    <font>
      <name val="Calibri"/>
      <family val="2"/>
      <b val="1"/>
      <color theme="1"/>
      <sz val="10"/>
    </font>
    <font>
      <b val="1"/>
      <sz val="14"/>
    </font>
    <font>
      <i val="1"/>
      <color rgb="00595959"/>
    </font>
    <font>
      <name val="Calibri"/>
      <b val="1"/>
      <sz val="10"/>
    </font>
    <font>
      <name val="Calibri"/>
      <sz val="10"/>
    </font>
    <font>
      <name val="Calibri"/>
      <b val="1"/>
      <color rgb="00FFFFFF"/>
      <sz val="10"/>
    </font>
    <font>
      <name val="Calibri"/>
      <b val="1"/>
      <color rgb="000B2E59"/>
      <sz val="10"/>
    </font>
    <font>
      <name val="Calibri"/>
      <b val="1"/>
      <color rgb="00FF0000"/>
      <sz val="10"/>
    </font>
    <font>
      <name val="Calibri"/>
      <color rgb="00FF0000"/>
      <sz val="10"/>
    </font>
    <font>
      <name val="Aptos Narrow"/>
      <family val="2"/>
      <b val="1"/>
      <color rgb="FF0070C0"/>
      <sz val="11"/>
    </font>
    <font>
      <name val="Aptos Narrow"/>
      <family val="2"/>
      <color rgb="FF0070C0"/>
      <sz val="11"/>
    </font>
  </fonts>
  <fills count="18">
    <fill>
      <patternFill/>
    </fill>
    <fill>
      <patternFill patternType="gray125"/>
    </fill>
    <fill>
      <patternFill patternType="solid">
        <fgColor theme="7"/>
        <bgColor rgb="FFC0E6F5"/>
      </patternFill>
    </fill>
    <fill>
      <patternFill patternType="solid">
        <fgColor theme="9" tint="0.5999938962981048"/>
        <bgColor rgb="FFC0E6F5"/>
      </patternFill>
    </fill>
    <fill>
      <patternFill patternType="solid">
        <fgColor rgb="FF17375E"/>
      </patternFill>
    </fill>
    <fill>
      <patternFill patternType="solid">
        <fgColor rgb="FFDCE6F1"/>
      </patternFill>
    </fill>
    <fill>
      <patternFill patternType="solid">
        <fgColor theme="7" tint="0.799981688894314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rgb="FFFFFFCC"/>
        <bgColor indexed="64"/>
      </patternFill>
    </fill>
    <fill>
      <patternFill patternType="solid">
        <fgColor rgb="00FFC000"/>
      </patternFill>
    </fill>
    <fill>
      <patternFill patternType="solid">
        <fgColor rgb="0017375E"/>
      </patternFill>
    </fill>
    <fill>
      <patternFill patternType="solid">
        <fgColor rgb="00DCE6F1"/>
      </patternFill>
    </fill>
    <fill>
      <patternFill patternType="solid">
        <fgColor rgb="00FFFFCC"/>
      </patternFill>
    </fill>
    <fill>
      <patternFill patternType="solid">
        <fgColor rgb="00DDEBF7"/>
      </patternFill>
    </fill>
    <fill>
      <patternFill patternType="solid">
        <fgColor rgb="00C6EFCE"/>
      </patternFill>
    </fill>
    <fill>
      <patternFill patternType="solid">
        <fgColor rgb="00FCE4D6"/>
      </patternFill>
    </fill>
    <fill>
      <patternFill patternType="solid">
        <fgColor theme="0" tint="-0.0499893185216834"/>
        <bgColor indexed="64"/>
      </patternFill>
    </fill>
  </fills>
  <borders count="35">
    <border>
      <left/>
      <right/>
      <top/>
      <bottom/>
      <diagonal/>
    </border>
    <border>
      <left style="medium">
        <color theme="0" tint="-0.249946592608417"/>
      </left>
      <right style="hair">
        <color theme="0" tint="-0.249946592608417"/>
      </right>
      <top style="medium">
        <color theme="0" tint="-0.249946592608417"/>
      </top>
      <bottom style="hair">
        <color theme="0" tint="-0.249946592608417"/>
      </bottom>
      <diagonal/>
    </border>
    <border>
      <left style="hair">
        <color theme="0" tint="-0.249946592608417"/>
      </left>
      <right style="hair">
        <color theme="0" tint="-0.249946592608417"/>
      </right>
      <top style="medium">
        <color theme="0" tint="-0.249946592608417"/>
      </top>
      <bottom style="hair">
        <color theme="0" tint="-0.249946592608417"/>
      </bottom>
      <diagonal/>
    </border>
    <border>
      <left style="hair">
        <color theme="0" tint="-0.249946592608417"/>
      </left>
      <right style="medium">
        <color theme="0" tint="-0.249946592608417"/>
      </right>
      <top style="medium">
        <color theme="0" tint="-0.249946592608417"/>
      </top>
      <bottom style="hair">
        <color theme="0" tint="-0.249946592608417"/>
      </bottom>
      <diagonal/>
    </border>
    <border>
      <left style="medium">
        <color theme="0" tint="-0.249946592608417"/>
      </left>
      <right style="hair">
        <color theme="0" tint="-0.249946592608417"/>
      </right>
      <top style="hair">
        <color theme="0" tint="-0.249946592608417"/>
      </top>
      <bottom style="hair">
        <color theme="0" tint="-0.249946592608417"/>
      </bottom>
      <diagonal/>
    </border>
    <border>
      <left style="hair">
        <color theme="0" tint="-0.249946592608417"/>
      </left>
      <right style="hair">
        <color theme="0" tint="-0.249946592608417"/>
      </right>
      <top style="hair">
        <color theme="0" tint="-0.249946592608417"/>
      </top>
      <bottom style="hair">
        <color theme="0" tint="-0.249946592608417"/>
      </bottom>
      <diagonal/>
    </border>
    <border>
      <left style="hair">
        <color theme="0" tint="-0.249946592608417"/>
      </left>
      <right style="medium">
        <color theme="0" tint="-0.249946592608417"/>
      </right>
      <top style="hair">
        <color theme="0" tint="-0.249946592608417"/>
      </top>
      <bottom style="hair">
        <color theme="0" tint="-0.249946592608417"/>
      </bottom>
      <diagonal/>
    </border>
    <border>
      <left style="medium">
        <color theme="0" tint="-0.249946592608417"/>
      </left>
      <right style="hair">
        <color theme="0" tint="-0.249946592608417"/>
      </right>
      <top style="hair">
        <color theme="0" tint="-0.249946592608417"/>
      </top>
      <bottom style="medium">
        <color theme="0" tint="-0.249946592608417"/>
      </bottom>
      <diagonal/>
    </border>
    <border>
      <left style="hair">
        <color theme="0" tint="-0.249946592608417"/>
      </left>
      <right style="hair">
        <color theme="0" tint="-0.249946592608417"/>
      </right>
      <top style="hair">
        <color theme="0" tint="-0.249946592608417"/>
      </top>
      <bottom style="medium">
        <color theme="0" tint="-0.249946592608417"/>
      </bottom>
      <diagonal/>
    </border>
    <border>
      <left style="hair">
        <color theme="0" tint="-0.249946592608417"/>
      </left>
      <right style="medium">
        <color theme="0" tint="-0.249946592608417"/>
      </right>
      <top style="hair">
        <color theme="0" tint="-0.249946592608417"/>
      </top>
      <bottom style="medium">
        <color theme="0" tint="-0.249946592608417"/>
      </bottom>
      <diagonal/>
    </border>
    <border>
      <left/>
      <right style="hair">
        <color theme="0" tint="-0.249946592608417"/>
      </right>
      <top/>
      <bottom style="hair">
        <color theme="0" tint="-0.249946592608417"/>
      </bottom>
      <diagonal/>
    </border>
    <border>
      <left style="hair">
        <color theme="0" tint="-0.249946592608417"/>
      </left>
      <right style="hair">
        <color theme="0" tint="-0.249946592608417"/>
      </right>
      <top/>
      <bottom style="hair">
        <color theme="0" tint="-0.249946592608417"/>
      </bottom>
      <diagonal/>
    </border>
    <border>
      <left style="hair">
        <color theme="0" tint="-0.249946592608417"/>
      </left>
      <right/>
      <top/>
      <bottom style="hair">
        <color theme="0" tint="-0.249946592608417"/>
      </bottom>
      <diagonal/>
    </border>
    <border>
      <left/>
      <right style="hair">
        <color theme="0" tint="-0.249946592608417"/>
      </right>
      <top style="hair">
        <color theme="0" tint="-0.249946592608417"/>
      </top>
      <bottom style="hair">
        <color theme="0" tint="-0.249946592608417"/>
      </bottom>
      <diagonal/>
    </border>
    <border>
      <left style="hair">
        <color theme="0" tint="-0.249946592608417"/>
      </left>
      <right/>
      <top style="hair">
        <color theme="0" tint="-0.249946592608417"/>
      </top>
      <bottom style="hair">
        <color theme="0" tint="-0.249946592608417"/>
      </bottom>
      <diagonal/>
    </border>
    <border>
      <left/>
      <right style="hair">
        <color theme="0" tint="-0.249946592608417"/>
      </right>
      <top style="hair">
        <color theme="0" tint="-0.249946592608417"/>
      </top>
      <bottom/>
      <diagonal/>
    </border>
    <border>
      <left style="hair">
        <color theme="0" tint="-0.249946592608417"/>
      </left>
      <right style="hair">
        <color theme="0" tint="-0.249946592608417"/>
      </right>
      <top style="hair">
        <color theme="0" tint="-0.249946592608417"/>
      </top>
      <bottom/>
      <diagonal/>
    </border>
    <border>
      <left style="hair">
        <color theme="0" tint="-0.249946592608417"/>
      </left>
      <right/>
      <top style="hair">
        <color theme="0" tint="-0.249946592608417"/>
      </top>
      <bottom/>
      <diagonal/>
    </border>
    <border>
      <left/>
      <right/>
      <top style="medium">
        <color theme="0" tint="-0.249946592608417"/>
      </top>
      <bottom/>
      <diagonal/>
    </border>
    <border>
      <left/>
      <right style="hair">
        <color theme="0" tint="-0.249946592608417"/>
      </right>
      <top style="medium">
        <color theme="0" tint="-0.249946592608417"/>
      </top>
      <bottom/>
      <diagonal/>
    </border>
    <border>
      <left/>
      <right/>
      <top style="medium">
        <color theme="0" tint="-0.249946592608417"/>
      </top>
      <bottom style="hair">
        <color theme="0" tint="-0.249946592608417"/>
      </bottom>
      <diagonal/>
    </border>
    <border>
      <left/>
      <right style="hair">
        <color theme="0" tint="-0.249946592608417"/>
      </right>
      <top style="medium">
        <color theme="0" tint="-0.249946592608417"/>
      </top>
      <bottom style="hair">
        <color theme="0" tint="-0.249946592608417"/>
      </bottom>
      <diagonal/>
    </border>
    <border>
      <left/>
      <right/>
      <top style="hair">
        <color theme="0" tint="-0.249946592608417"/>
      </top>
      <bottom/>
      <diagonal/>
    </border>
    <border>
      <left/>
      <right/>
      <top style="hair">
        <color theme="0" tint="-0.249946592608417"/>
      </top>
      <bottom style="hair">
        <color theme="0" tint="-0.249946592608417"/>
      </bottom>
      <diagonal/>
    </border>
    <border/>
    <border>
      <left style="hair"/>
      <right style="hair"/>
      <top style="hair"/>
      <bottom style="hair"/>
    </border>
    <border>
      <left style="medium"/>
      <right style="hair"/>
      <top style="medium"/>
      <bottom style="hair"/>
    </border>
    <border>
      <left style="hair"/>
      <right style="hair"/>
      <top style="medium"/>
      <bottom style="hair"/>
    </border>
    <border>
      <left style="hair"/>
      <right style="medium"/>
      <top style="medium"/>
      <bottom style="hair"/>
    </border>
    <border>
      <left style="medium"/>
      <right style="hair"/>
      <top style="hair"/>
      <bottom style="hair"/>
    </border>
    <border>
      <left style="hair"/>
      <right style="medium"/>
      <top style="hair"/>
      <bottom style="hair"/>
    </border>
    <border>
      <left style="medium"/>
      <right style="hair"/>
      <top style="hair"/>
      <bottom style="medium"/>
    </border>
    <border>
      <left style="hair"/>
      <right style="hair"/>
      <top style="hair"/>
      <bottom style="medium"/>
    </border>
    <border>
      <left style="hair"/>
      <right style="medium"/>
      <top style="hair"/>
      <bottom style="medium"/>
    </border>
    <border>
      <left style="thin"/>
      <right style="thin"/>
      <top style="thin"/>
      <bottom style="thin"/>
    </border>
  </borders>
  <cellStyleXfs count="2">
    <xf numFmtId="0" fontId="0" fillId="0" borderId="0"/>
    <xf numFmtId="0" fontId="2" fillId="0" borderId="0"/>
  </cellStyleXfs>
  <cellXfs count="175">
    <xf numFmtId="0" fontId="0" fillId="0" borderId="0" pivotButton="0" quotePrefix="0" xfId="0"/>
    <xf numFmtId="0" fontId="3" fillId="0" borderId="0" pivotButton="0" quotePrefix="0" xfId="1"/>
    <xf numFmtId="0" fontId="3" fillId="0" borderId="0" applyAlignment="1" pivotButton="0" quotePrefix="0" xfId="1">
      <alignment horizontal="center"/>
    </xf>
    <xf numFmtId="0" fontId="4" fillId="4" borderId="4" applyAlignment="1" pivotButton="0" quotePrefix="0" xfId="1">
      <alignment horizontal="center" vertical="center" wrapText="1"/>
    </xf>
    <xf numFmtId="0" fontId="4" fillId="4" borderId="5" applyAlignment="1" pivotButton="0" quotePrefix="0" xfId="1">
      <alignment horizontal="center" vertical="center" wrapText="1"/>
    </xf>
    <xf numFmtId="0" fontId="4" fillId="4" borderId="6" applyAlignment="1" pivotButton="0" quotePrefix="0" xfId="1">
      <alignment horizontal="center" vertical="center" wrapText="1"/>
    </xf>
    <xf numFmtId="0" fontId="3" fillId="0" borderId="4" applyAlignment="1" pivotButton="0" quotePrefix="0" xfId="1">
      <alignment wrapText="1"/>
    </xf>
    <xf numFmtId="0" fontId="3" fillId="0" borderId="5" applyAlignment="1" pivotButton="0" quotePrefix="0" xfId="1">
      <alignment horizontal="center" wrapText="1"/>
    </xf>
    <xf numFmtId="164" fontId="3" fillId="0" borderId="5" applyAlignment="1" pivotButton="0" quotePrefix="0" xfId="1">
      <alignment horizontal="center" wrapText="1"/>
    </xf>
    <xf numFmtId="0" fontId="3" fillId="0" borderId="6" applyAlignment="1" pivotButton="0" quotePrefix="0" xfId="1">
      <alignment wrapText="1"/>
    </xf>
    <xf numFmtId="0" fontId="3" fillId="0" borderId="5" applyAlignment="1" pivotButton="0" quotePrefix="0" xfId="1">
      <alignment wrapText="1"/>
    </xf>
    <xf numFmtId="164" fontId="3" fillId="0" borderId="6" applyAlignment="1" pivotButton="0" quotePrefix="0" xfId="1">
      <alignment horizontal="center" wrapText="1"/>
    </xf>
    <xf numFmtId="0" fontId="3" fillId="0" borderId="7" applyAlignment="1" pivotButton="0" quotePrefix="0" xfId="1">
      <alignment wrapText="1"/>
    </xf>
    <xf numFmtId="164" fontId="3" fillId="0" borderId="9" applyAlignment="1" pivotButton="0" quotePrefix="0" xfId="1">
      <alignment horizontal="center" wrapText="1"/>
    </xf>
    <xf numFmtId="0" fontId="7" fillId="6" borderId="1" applyAlignment="1" pivotButton="0" quotePrefix="0" xfId="1">
      <alignment wrapText="1"/>
    </xf>
    <xf numFmtId="0" fontId="8" fillId="6" borderId="2" applyAlignment="1" pivotButton="0" quotePrefix="0" xfId="1">
      <alignment horizontal="center"/>
    </xf>
    <xf numFmtId="0" fontId="3" fillId="0" borderId="4" applyAlignment="1" pivotButton="0" quotePrefix="0" xfId="1">
      <alignment horizontal="left" wrapText="1"/>
    </xf>
    <xf numFmtId="0" fontId="3" fillId="0" borderId="5" applyAlignment="1" pivotButton="0" quotePrefix="0" xfId="1">
      <alignment horizontal="center"/>
    </xf>
    <xf numFmtId="0" fontId="8" fillId="7" borderId="4" applyAlignment="1" pivotButton="0" quotePrefix="0" xfId="1">
      <alignment wrapText="1"/>
    </xf>
    <xf numFmtId="0" fontId="8" fillId="7" borderId="5" applyAlignment="1" pivotButton="0" quotePrefix="0" xfId="1">
      <alignment horizontal="center" vertical="top" wrapText="1"/>
    </xf>
    <xf numFmtId="0" fontId="8" fillId="7" borderId="5" applyAlignment="1" pivotButton="0" quotePrefix="0" xfId="1">
      <alignment horizontal="center" wrapText="1"/>
    </xf>
    <xf numFmtId="0" fontId="7" fillId="6" borderId="4" applyAlignment="1" pivotButton="0" quotePrefix="0" xfId="1">
      <alignment wrapText="1"/>
    </xf>
    <xf numFmtId="0" fontId="8" fillId="6" borderId="5" applyAlignment="1" pivotButton="0" quotePrefix="0" xfId="1">
      <alignment horizontal="center"/>
    </xf>
    <xf numFmtId="0" fontId="3" fillId="9" borderId="5" applyAlignment="1" pivotButton="0" quotePrefix="0" xfId="1">
      <alignment horizontal="center" wrapText="1"/>
    </xf>
    <xf numFmtId="0" fontId="3" fillId="9" borderId="8" applyAlignment="1" pivotButton="0" quotePrefix="0" xfId="1">
      <alignment horizontal="center" wrapText="1"/>
    </xf>
    <xf numFmtId="0" fontId="8" fillId="6" borderId="3" applyAlignment="1" pivotButton="0" quotePrefix="0" xfId="1">
      <alignment horizontal="left"/>
    </xf>
    <xf numFmtId="0" fontId="3" fillId="0" borderId="6" applyAlignment="1" pivotButton="0" quotePrefix="0" xfId="1">
      <alignment horizontal="left"/>
    </xf>
    <xf numFmtId="0" fontId="8" fillId="7" borderId="6" applyAlignment="1" pivotButton="0" quotePrefix="0" xfId="1">
      <alignment horizontal="left" wrapText="1"/>
    </xf>
    <xf numFmtId="0" fontId="8" fillId="6" borderId="6" applyAlignment="1" pivotButton="0" quotePrefix="0" xfId="1">
      <alignment horizontal="left"/>
    </xf>
    <xf numFmtId="0" fontId="3" fillId="0" borderId="6" applyAlignment="1" pivotButton="0" quotePrefix="0" xfId="1">
      <alignment horizontal="left" wrapText="1"/>
    </xf>
    <xf numFmtId="0" fontId="3" fillId="8" borderId="7" applyAlignment="1" pivotButton="0" quotePrefix="0" xfId="1">
      <alignment vertical="center"/>
    </xf>
    <xf numFmtId="0" fontId="3" fillId="8" borderId="8" applyAlignment="1" pivotButton="0" quotePrefix="0" xfId="1">
      <alignment horizontal="center" vertical="center"/>
    </xf>
    <xf numFmtId="0" fontId="3" fillId="8" borderId="9" applyAlignment="1" pivotButton="0" quotePrefix="0" xfId="1">
      <alignment horizontal="left" vertical="center" wrapText="1"/>
    </xf>
    <xf numFmtId="0" fontId="9" fillId="0" borderId="0" pivotButton="0" quotePrefix="0" xfId="0"/>
    <xf numFmtId="0" fontId="9" fillId="0" borderId="0" applyAlignment="1" pivotButton="0" quotePrefix="0" xfId="0">
      <alignment horizontal="center"/>
    </xf>
    <xf numFmtId="0" fontId="9" fillId="0" borderId="0" applyAlignment="1" pivotButton="0" quotePrefix="0" xfId="0">
      <alignment horizontal="left"/>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10" fillId="0" borderId="0" pivotButton="0" quotePrefix="0" xfId="0"/>
    <xf numFmtId="0" fontId="10" fillId="0" borderId="0" applyAlignment="1" pivotButton="0" quotePrefix="0" xfId="0">
      <alignment vertical="center"/>
    </xf>
    <xf numFmtId="0" fontId="9" fillId="0" borderId="0" applyAlignment="1" pivotButton="0" quotePrefix="0" xfId="0">
      <alignment vertical="center"/>
    </xf>
    <xf numFmtId="0" fontId="9" fillId="0" borderId="0" applyAlignment="1" pivotButton="0" quotePrefix="0" xfId="0">
      <alignment horizontal="left" vertical="center"/>
    </xf>
    <xf numFmtId="0" fontId="3" fillId="0" borderId="0" pivotButton="0" quotePrefix="0" xfId="0"/>
    <xf numFmtId="1" fontId="3" fillId="0" borderId="13" applyAlignment="1" pivotButton="0" quotePrefix="0" xfId="0">
      <alignment horizontal="center" vertical="center"/>
    </xf>
    <xf numFmtId="1"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5" applyAlignment="1" pivotButton="0" quotePrefix="0" xfId="0">
      <alignment horizontal="left" vertical="center" wrapText="1"/>
    </xf>
    <xf numFmtId="1" fontId="3" fillId="0" borderId="5" applyAlignment="1" pivotButton="0" quotePrefix="0" xfId="0">
      <alignment horizontal="left" vertical="center" wrapText="1"/>
    </xf>
    <xf numFmtId="1" fontId="3" fillId="0" borderId="5" applyAlignment="1" pivotButton="0" quotePrefix="0" xfId="0">
      <alignment horizontal="center" vertical="center" wrapText="1"/>
    </xf>
    <xf numFmtId="0" fontId="3" fillId="0" borderId="5" applyAlignment="1" pivotButton="0" quotePrefix="0" xfId="0">
      <alignment vertical="center" wrapText="1"/>
    </xf>
    <xf numFmtId="1" fontId="3" fillId="0" borderId="14" applyAlignment="1" pivotButton="0" quotePrefix="0" xfId="0">
      <alignment horizontal="left" vertical="center" wrapText="1"/>
    </xf>
    <xf numFmtId="1" fontId="3" fillId="0" borderId="5" applyAlignment="1" pivotButton="0" quotePrefix="1" xfId="0">
      <alignment horizontal="center" vertical="center" wrapText="1"/>
    </xf>
    <xf numFmtId="0" fontId="11" fillId="0" borderId="5" applyAlignment="1" pivotButton="0" quotePrefix="1" xfId="0">
      <alignment horizontal="left" vertical="center" wrapText="1"/>
    </xf>
    <xf numFmtId="0" fontId="11" fillId="0" borderId="5" applyAlignment="1" pivotButton="0" quotePrefix="0" xfId="0">
      <alignment horizontal="left" vertical="center" wrapText="1"/>
    </xf>
    <xf numFmtId="1" fontId="3" fillId="0" borderId="15" applyAlignment="1" pivotButton="0" quotePrefix="0" xfId="0">
      <alignment horizontal="center" vertical="center"/>
    </xf>
    <xf numFmtId="1" fontId="3" fillId="0" borderId="16" applyAlignment="1" pivotButton="0" quotePrefix="0" xfId="0">
      <alignment horizontal="center" vertical="center"/>
    </xf>
    <xf numFmtId="0" fontId="3" fillId="0" borderId="16" applyAlignment="1" pivotButton="0" quotePrefix="0" xfId="0">
      <alignment horizontal="center" vertical="center" wrapText="1"/>
    </xf>
    <xf numFmtId="0" fontId="3" fillId="0" borderId="16" applyAlignment="1" pivotButton="0" quotePrefix="0" xfId="0">
      <alignment horizontal="left" vertical="center" wrapText="1"/>
    </xf>
    <xf numFmtId="1" fontId="3" fillId="0" borderId="16" applyAlignment="1" pivotButton="0" quotePrefix="0" xfId="0">
      <alignment horizontal="left" vertical="center" wrapText="1"/>
    </xf>
    <xf numFmtId="1" fontId="3" fillId="0" borderId="16" applyAlignment="1" pivotButton="0" quotePrefix="0" xfId="0">
      <alignment horizontal="center" vertical="center" wrapText="1"/>
    </xf>
    <xf numFmtId="0" fontId="3" fillId="0" borderId="16" applyAlignment="1" pivotButton="0" quotePrefix="0" xfId="0">
      <alignment vertical="center" wrapText="1"/>
    </xf>
    <xf numFmtId="1" fontId="3" fillId="0" borderId="17" applyAlignment="1" pivotButton="0" quotePrefix="0" xfId="0">
      <alignment horizontal="left" vertical="center" wrapText="1"/>
    </xf>
    <xf numFmtId="0" fontId="12" fillId="0" borderId="0" applyAlignment="1" pivotButton="0" quotePrefix="0" xfId="0">
      <alignment horizontal="center" vertical="center" wrapText="1"/>
    </xf>
    <xf numFmtId="0" fontId="13" fillId="2" borderId="10" applyAlignment="1" pivotButton="0" quotePrefix="0" xfId="0">
      <alignment horizontal="center" vertical="center" wrapText="1"/>
    </xf>
    <xf numFmtId="0" fontId="13" fillId="2" borderId="11" applyAlignment="1" pivotButton="0" quotePrefix="0" xfId="0">
      <alignment horizontal="center" vertical="center" wrapText="1"/>
    </xf>
    <xf numFmtId="0" fontId="13" fillId="2" borderId="11" applyAlignment="1" pivotButton="0" quotePrefix="0" xfId="0">
      <alignment horizontal="left" vertical="center" wrapText="1"/>
    </xf>
    <xf numFmtId="0" fontId="13" fillId="0" borderId="0" pivotButton="0" quotePrefix="0" xfId="0"/>
    <xf numFmtId="0" fontId="14" fillId="3" borderId="11" applyAlignment="1" pivotButton="0" quotePrefix="0" xfId="0">
      <alignment horizontal="center" vertical="center" wrapText="1"/>
    </xf>
    <xf numFmtId="0" fontId="14" fillId="3" borderId="11" applyAlignment="1" pivotButton="0" quotePrefix="0" xfId="0">
      <alignment horizontal="left" vertical="center" wrapText="1"/>
    </xf>
    <xf numFmtId="0" fontId="10" fillId="0" borderId="0" applyAlignment="1" pivotButton="0" quotePrefix="0" xfId="0">
      <alignment horizontal="center" vertical="center"/>
    </xf>
    <xf numFmtId="0" fontId="8" fillId="6" borderId="2" applyAlignment="1" pivotButton="0" quotePrefix="0" xfId="1">
      <alignment horizontal="left"/>
    </xf>
    <xf numFmtId="0" fontId="3" fillId="0" borderId="5" applyAlignment="1" pivotButton="0" quotePrefix="0" xfId="1">
      <alignment horizontal="left"/>
    </xf>
    <xf numFmtId="0" fontId="8" fillId="7" borderId="5" applyAlignment="1" pivotButton="0" quotePrefix="0" xfId="1">
      <alignment horizontal="left" wrapText="1"/>
    </xf>
    <xf numFmtId="0" fontId="8" fillId="6" borderId="5" applyAlignment="1" pivotButton="0" quotePrefix="0" xfId="1">
      <alignment horizontal="left"/>
    </xf>
    <xf numFmtId="0" fontId="3" fillId="0" borderId="5" applyAlignment="1" pivotButton="0" quotePrefix="0" xfId="1">
      <alignment horizontal="left" wrapText="1"/>
    </xf>
    <xf numFmtId="0" fontId="11" fillId="0" borderId="5" applyAlignment="1" pivotButton="0" quotePrefix="0" xfId="0">
      <alignment vertical="center" wrapText="1"/>
    </xf>
    <xf numFmtId="1" fontId="11" fillId="0" borderId="5" applyAlignment="1" pivotButton="0" quotePrefix="0" xfId="0">
      <alignment horizontal="left" vertical="center" wrapText="1"/>
    </xf>
    <xf numFmtId="0" fontId="14" fillId="3" borderId="12" applyAlignment="1" pivotButton="0" quotePrefix="1" xfId="0">
      <alignment horizontal="left" vertical="center" wrapText="1"/>
    </xf>
    <xf numFmtId="0" fontId="12" fillId="0" borderId="0" applyAlignment="1" pivotButton="0" quotePrefix="0" xfId="0">
      <alignment horizontal="left" vertical="center" wrapText="1"/>
    </xf>
    <xf numFmtId="0" fontId="4" fillId="4" borderId="1" applyAlignment="1" pivotButton="0" quotePrefix="0" xfId="1">
      <alignment horizontal="center" vertical="center"/>
    </xf>
    <xf numFmtId="0" fontId="4" fillId="4" borderId="2" applyAlignment="1" pivotButton="0" quotePrefix="0" xfId="1">
      <alignment horizontal="center" vertical="center"/>
    </xf>
    <xf numFmtId="0" fontId="4" fillId="4" borderId="3" applyAlignment="1" pivotButton="0" quotePrefix="0" xfId="1">
      <alignment horizontal="center" vertical="center"/>
    </xf>
    <xf numFmtId="0" fontId="5" fillId="5" borderId="4" applyAlignment="1" pivotButton="0" quotePrefix="0" xfId="1">
      <alignment horizontal="center" vertical="center"/>
    </xf>
    <xf numFmtId="0" fontId="5" fillId="5" borderId="5" applyAlignment="1" pivotButton="0" quotePrefix="0" xfId="1">
      <alignment horizontal="center" vertical="center"/>
    </xf>
    <xf numFmtId="0" fontId="5" fillId="5" borderId="6" applyAlignment="1" pivotButton="0" quotePrefix="0" xfId="1">
      <alignment horizontal="center" vertical="center"/>
    </xf>
    <xf numFmtId="0" fontId="4" fillId="4" borderId="4" applyAlignment="1" pivotButton="0" quotePrefix="0" xfId="1">
      <alignment horizontal="center" vertical="center" wrapText="1"/>
    </xf>
    <xf numFmtId="0" fontId="4" fillId="4" borderId="5" applyAlignment="1" pivotButton="0" quotePrefix="0" xfId="1">
      <alignment horizontal="center" vertical="center" wrapText="1"/>
    </xf>
    <xf numFmtId="0" fontId="4" fillId="4" borderId="6" applyAlignment="1" pivotButton="0" quotePrefix="0" xfId="1">
      <alignment horizontal="center" vertical="center" wrapText="1"/>
    </xf>
    <xf numFmtId="0" fontId="3" fillId="0" borderId="0" applyAlignment="1" pivotButton="0" quotePrefix="0" xfId="1">
      <alignment horizontal="left"/>
    </xf>
    <xf numFmtId="0" fontId="3" fillId="0" borderId="0" applyAlignment="1" pivotButton="0" quotePrefix="0" xfId="1">
      <alignment horizontal="left"/>
    </xf>
    <xf numFmtId="0" fontId="3" fillId="0" borderId="0" pivotButton="0" quotePrefix="0" xfId="1"/>
    <xf numFmtId="0" fontId="3" fillId="0" borderId="0" applyAlignment="1" pivotButton="0" quotePrefix="0" xfId="1">
      <alignment horizontal="center"/>
    </xf>
    <xf numFmtId="0" fontId="6" fillId="0" borderId="5" applyAlignment="1" pivotButton="0" quotePrefix="0" xfId="0">
      <alignment horizontal="center" vertical="center" wrapText="1"/>
    </xf>
    <xf numFmtId="0" fontId="11" fillId="0" borderId="5" applyAlignment="1" pivotButton="0" quotePrefix="0" xfId="0">
      <alignment horizontal="center" vertical="center" wrapText="1"/>
    </xf>
    <xf numFmtId="0" fontId="0" fillId="0" borderId="20" pivotButton="0" quotePrefix="0" xfId="0"/>
    <xf numFmtId="0" fontId="0" fillId="0" borderId="21" pivotButton="0" quotePrefix="0" xfId="0"/>
    <xf numFmtId="0" fontId="0" fillId="0" borderId="23" pivotButton="0" quotePrefix="0" xfId="0"/>
    <xf numFmtId="0" fontId="0" fillId="0" borderId="13" pivotButton="0" quotePrefix="0" xfId="0"/>
    <xf numFmtId="0" fontId="15" fillId="0" borderId="0" pivotButton="0" quotePrefix="0" xfId="0"/>
    <xf numFmtId="0" fontId="16" fillId="0" borderId="0" pivotButton="0" quotePrefix="0" xfId="0"/>
    <xf numFmtId="0" fontId="14" fillId="10" borderId="12" applyAlignment="1" pivotButton="0" quotePrefix="1" xfId="0">
      <alignment horizontal="center" vertical="center" wrapText="1"/>
    </xf>
    <xf numFmtId="1" fontId="3" fillId="0" borderId="14" applyAlignment="1" pivotButton="0" quotePrefix="0" xfId="0">
      <alignment horizontal="center" vertical="center" wrapText="1"/>
    </xf>
    <xf numFmtId="0" fontId="19" fillId="11" borderId="26" applyAlignment="1" pivotButton="0" quotePrefix="0" xfId="0">
      <alignment horizontal="center" vertical="center" wrapText="1"/>
    </xf>
    <xf numFmtId="0" fontId="19" fillId="11" borderId="27" applyAlignment="1" pivotButton="0" quotePrefix="0" xfId="0">
      <alignment horizontal="center" vertical="center" wrapText="1"/>
    </xf>
    <xf numFmtId="0" fontId="19" fillId="11" borderId="28" applyAlignment="1" pivotButton="0" quotePrefix="0" xfId="0">
      <alignment horizontal="center" vertical="center" wrapText="1"/>
    </xf>
    <xf numFmtId="0" fontId="20" fillId="12" borderId="29" applyAlignment="1" pivotButton="0" quotePrefix="0" xfId="0">
      <alignment horizontal="center" vertical="center" wrapText="1"/>
    </xf>
    <xf numFmtId="0" fontId="19" fillId="12" borderId="25" applyAlignment="1" pivotButton="0" quotePrefix="0" xfId="0">
      <alignment horizontal="center" vertical="center" wrapText="1"/>
    </xf>
    <xf numFmtId="0" fontId="19" fillId="12" borderId="30" applyAlignment="1" pivotButton="0" quotePrefix="0" xfId="0">
      <alignment horizontal="center" vertical="center" wrapText="1"/>
    </xf>
    <xf numFmtId="0" fontId="19" fillId="11" borderId="29" applyAlignment="1" pivotButton="0" quotePrefix="0" xfId="0">
      <alignment horizontal="center" vertical="center" wrapText="1"/>
    </xf>
    <xf numFmtId="0" fontId="19" fillId="11" borderId="25" applyAlignment="1" pivotButton="0" quotePrefix="0" xfId="0">
      <alignment horizontal="center" vertical="center" wrapText="1"/>
    </xf>
    <xf numFmtId="0" fontId="19" fillId="11" borderId="30" applyAlignment="1" pivotButton="0" quotePrefix="0" xfId="0">
      <alignment horizontal="center" vertical="center" wrapText="1"/>
    </xf>
    <xf numFmtId="0" fontId="18" fillId="0" borderId="29" applyAlignment="1" pivotButton="0" quotePrefix="0" xfId="0">
      <alignment horizontal="left" vertical="center" wrapText="1"/>
    </xf>
    <xf numFmtId="0" fontId="18" fillId="13" borderId="25" applyAlignment="1" pivotButton="0" quotePrefix="0" xfId="0">
      <alignment horizontal="center" vertical="center" wrapText="1"/>
    </xf>
    <xf numFmtId="0" fontId="18" fillId="0" borderId="25" applyAlignment="1" pivotButton="0" quotePrefix="0" xfId="0">
      <alignment horizontal="center" vertical="center" wrapText="1"/>
    </xf>
    <xf numFmtId="164" fontId="18" fillId="0" borderId="25" applyAlignment="1" pivotButton="0" quotePrefix="0" xfId="0">
      <alignment horizontal="center" vertical="center" wrapText="1"/>
    </xf>
    <xf numFmtId="0" fontId="18" fillId="0" borderId="25" applyAlignment="1" pivotButton="0" quotePrefix="0" xfId="0">
      <alignment horizontal="left" vertical="center" wrapText="1"/>
    </xf>
    <xf numFmtId="0" fontId="18" fillId="0" borderId="30" applyAlignment="1" pivotButton="0" quotePrefix="0" xfId="0">
      <alignment horizontal="left" vertical="center" wrapText="1"/>
    </xf>
    <xf numFmtId="0" fontId="18" fillId="0" borderId="31" applyAlignment="1" pivotButton="0" quotePrefix="0" xfId="0">
      <alignment horizontal="left" vertical="center" wrapText="1"/>
    </xf>
    <xf numFmtId="0" fontId="18" fillId="13" borderId="32" applyAlignment="1" pivotButton="0" quotePrefix="0" xfId="0">
      <alignment horizontal="center" vertical="center" wrapText="1"/>
    </xf>
    <xf numFmtId="0" fontId="18" fillId="0" borderId="32" applyAlignment="1" pivotButton="0" quotePrefix="0" xfId="0">
      <alignment horizontal="center" vertical="center" wrapText="1"/>
    </xf>
    <xf numFmtId="164" fontId="18" fillId="0" borderId="32" applyAlignment="1" pivotButton="0" quotePrefix="0" xfId="0">
      <alignment horizontal="center" vertical="center" wrapText="1"/>
    </xf>
    <xf numFmtId="0" fontId="18" fillId="0" borderId="32" applyAlignment="1" pivotButton="0" quotePrefix="0" xfId="0">
      <alignment horizontal="left" vertical="center" wrapText="1"/>
    </xf>
    <xf numFmtId="0" fontId="18" fillId="0" borderId="33" applyAlignment="1" pivotButton="0" quotePrefix="0" xfId="0">
      <alignment horizontal="left" vertical="center" wrapText="1"/>
    </xf>
    <xf numFmtId="164" fontId="18" fillId="0" borderId="30" applyAlignment="1" pivotButton="0" quotePrefix="0" xfId="0">
      <alignment horizontal="center" vertical="center" wrapText="1"/>
    </xf>
    <xf numFmtId="164" fontId="18" fillId="0" borderId="33" applyAlignment="1" pivotButton="0" quotePrefix="0" xfId="0">
      <alignment horizontal="center" vertical="center" wrapText="1"/>
    </xf>
    <xf numFmtId="0" fontId="21" fillId="14" borderId="26" applyAlignment="1" pivotButton="0" quotePrefix="0" xfId="0">
      <alignment horizontal="center" vertical="center" wrapText="1"/>
    </xf>
    <xf numFmtId="0" fontId="21" fillId="14" borderId="27" applyAlignment="1" pivotButton="0" quotePrefix="0" xfId="0">
      <alignment horizontal="left" vertical="center" wrapText="1"/>
    </xf>
    <xf numFmtId="0" fontId="17" fillId="14" borderId="27" applyAlignment="1" pivotButton="0" quotePrefix="0" xfId="0">
      <alignment horizontal="center" vertical="center" wrapText="1"/>
    </xf>
    <xf numFmtId="0" fontId="17" fillId="14" borderId="27" applyAlignment="1" pivotButton="0" quotePrefix="0" xfId="0">
      <alignment horizontal="left" vertical="center" wrapText="1"/>
    </xf>
    <xf numFmtId="0" fontId="17" fillId="14" borderId="28" applyAlignment="1" pivotButton="0" quotePrefix="0" xfId="0">
      <alignment horizontal="left" vertical="center" wrapText="1"/>
    </xf>
    <xf numFmtId="0" fontId="22" fillId="0" borderId="29" applyAlignment="1" pivotButton="0" quotePrefix="0" xfId="0">
      <alignment horizontal="center" vertical="center" wrapText="1"/>
    </xf>
    <xf numFmtId="0" fontId="17" fillId="15" borderId="29" applyAlignment="1" pivotButton="0" quotePrefix="0" xfId="0">
      <alignment horizontal="center" vertical="center" wrapText="1"/>
    </xf>
    <xf numFmtId="0" fontId="17" fillId="15" borderId="25" applyAlignment="1" pivotButton="0" quotePrefix="0" xfId="0">
      <alignment horizontal="left" vertical="center" wrapText="1"/>
    </xf>
    <xf numFmtId="0" fontId="17" fillId="15" borderId="25" applyAlignment="1" pivotButton="0" quotePrefix="0" xfId="0">
      <alignment horizontal="center" vertical="center" wrapText="1"/>
    </xf>
    <xf numFmtId="0" fontId="18" fillId="15" borderId="25" applyAlignment="1" pivotButton="0" quotePrefix="0" xfId="0">
      <alignment horizontal="left" vertical="center" wrapText="1"/>
    </xf>
    <xf numFmtId="0" fontId="18" fillId="15" borderId="30" applyAlignment="1" pivotButton="0" quotePrefix="0" xfId="0">
      <alignment horizontal="left" vertical="center" wrapText="1"/>
    </xf>
    <xf numFmtId="0" fontId="21" fillId="14" borderId="29" applyAlignment="1" pivotButton="0" quotePrefix="0" xfId="0">
      <alignment horizontal="center" vertical="center" wrapText="1"/>
    </xf>
    <xf numFmtId="0" fontId="21" fillId="14" borderId="25" applyAlignment="1" pivotButton="0" quotePrefix="0" xfId="0">
      <alignment horizontal="left" vertical="center" wrapText="1"/>
    </xf>
    <xf numFmtId="0" fontId="17" fillId="14" borderId="25" applyAlignment="1" pivotButton="0" quotePrefix="0" xfId="0">
      <alignment horizontal="center" vertical="center" wrapText="1"/>
    </xf>
    <xf numFmtId="0" fontId="17" fillId="14" borderId="25" applyAlignment="1" pivotButton="0" quotePrefix="0" xfId="0">
      <alignment horizontal="left" vertical="center" wrapText="1"/>
    </xf>
    <xf numFmtId="0" fontId="17" fillId="14" borderId="30" applyAlignment="1" pivotButton="0" quotePrefix="0" xfId="0">
      <alignment horizontal="left" vertical="center" wrapText="1"/>
    </xf>
    <xf numFmtId="0" fontId="17" fillId="15" borderId="31" applyAlignment="1" pivotButton="0" quotePrefix="0" xfId="0">
      <alignment horizontal="center" vertical="center" wrapText="1"/>
    </xf>
    <xf numFmtId="0" fontId="17" fillId="15" borderId="32" applyAlignment="1" pivotButton="0" quotePrefix="0" xfId="0">
      <alignment horizontal="left" vertical="center" wrapText="1"/>
    </xf>
    <xf numFmtId="0" fontId="17" fillId="15" borderId="32" applyAlignment="1" pivotButton="0" quotePrefix="0" xfId="0">
      <alignment horizontal="center" vertical="center" wrapText="1"/>
    </xf>
    <xf numFmtId="0" fontId="18" fillId="15" borderId="32" applyAlignment="1" pivotButton="0" quotePrefix="0" xfId="0">
      <alignment horizontal="left" vertical="center" wrapText="1"/>
    </xf>
    <xf numFmtId="0" fontId="18" fillId="15" borderId="33" applyAlignment="1" pivotButton="0" quotePrefix="0" xfId="0">
      <alignment horizontal="left" vertical="center" wrapText="1"/>
    </xf>
    <xf numFmtId="0" fontId="17" fillId="10" borderId="26" applyAlignment="1" pivotButton="0" quotePrefix="0" xfId="0">
      <alignment horizontal="center" vertical="center" wrapText="1"/>
    </xf>
    <xf numFmtId="0" fontId="18" fillId="10" borderId="27" applyAlignment="1" pivotButton="0" quotePrefix="0" xfId="0">
      <alignment horizontal="left" vertical="center" wrapText="1"/>
    </xf>
    <xf numFmtId="0" fontId="18" fillId="10" borderId="28" applyAlignment="1" pivotButton="0" quotePrefix="0" xfId="0">
      <alignment horizontal="left" vertical="center" wrapText="1"/>
    </xf>
    <xf numFmtId="0" fontId="18" fillId="16" borderId="29" applyAlignment="1" pivotButton="0" quotePrefix="0" xfId="0">
      <alignment horizontal="center" vertical="center" wrapText="1"/>
    </xf>
    <xf numFmtId="0" fontId="18" fillId="16" borderId="25" applyAlignment="1" pivotButton="0" quotePrefix="0" xfId="0">
      <alignment horizontal="left" vertical="center" wrapText="1"/>
    </xf>
    <xf numFmtId="0" fontId="18" fillId="16" borderId="25" applyAlignment="1" pivotButton="0" quotePrefix="0" xfId="0">
      <alignment horizontal="center" vertical="center" wrapText="1"/>
    </xf>
    <xf numFmtId="0" fontId="18" fillId="16" borderId="30" applyAlignment="1" pivotButton="0" quotePrefix="0" xfId="0">
      <alignment horizontal="left" vertical="center" wrapText="1"/>
    </xf>
    <xf numFmtId="0" fontId="18" fillId="16" borderId="31" applyAlignment="1" pivotButton="0" quotePrefix="0" xfId="0">
      <alignment horizontal="center" vertical="center" wrapText="1"/>
    </xf>
    <xf numFmtId="0" fontId="18" fillId="16" borderId="32" applyAlignment="1" pivotButton="0" quotePrefix="0" xfId="0">
      <alignment horizontal="left" vertical="center" wrapText="1"/>
    </xf>
    <xf numFmtId="0" fontId="18" fillId="16" borderId="32" applyAlignment="1" pivotButton="0" quotePrefix="0" xfId="0">
      <alignment horizontal="center" vertical="center" wrapText="1"/>
    </xf>
    <xf numFmtId="0" fontId="18" fillId="16" borderId="33" applyAlignment="1" pivotButton="0" quotePrefix="0" xfId="0">
      <alignment horizontal="left" vertical="center" wrapText="1"/>
    </xf>
    <xf numFmtId="0" fontId="17" fillId="0" borderId="24" applyAlignment="1" pivotButton="0" quotePrefix="0" xfId="0">
      <alignment horizontal="left"/>
    </xf>
    <xf numFmtId="0" fontId="18" fillId="0" borderId="24" applyAlignment="1" pivotButton="0" quotePrefix="0" xfId="0">
      <alignment horizontal="left"/>
    </xf>
    <xf numFmtId="0" fontId="17" fillId="14" borderId="34" applyAlignment="1" pivotButton="0" quotePrefix="0" xfId="0">
      <alignment horizontal="left" vertical="center" wrapText="1"/>
    </xf>
    <xf numFmtId="0" fontId="18" fillId="0" borderId="24" applyAlignment="1" pivotButton="0" quotePrefix="0" xfId="0">
      <alignment horizontal="left" vertical="center" wrapText="1"/>
    </xf>
    <xf numFmtId="0" fontId="23" fillId="17" borderId="1" applyAlignment="1" pivotButton="0" quotePrefix="0" xfId="0">
      <alignment vertical="center"/>
    </xf>
    <xf numFmtId="0" fontId="23" fillId="17" borderId="2" applyAlignment="1" pivotButton="0" quotePrefix="0" xfId="0">
      <alignment vertical="center"/>
    </xf>
    <xf numFmtId="0" fontId="23" fillId="17" borderId="2" applyAlignment="1" pivotButton="0" quotePrefix="0" xfId="0">
      <alignment vertical="center" wrapText="1"/>
    </xf>
    <xf numFmtId="0" fontId="23" fillId="17" borderId="3" applyAlignment="1" pivotButton="0" quotePrefix="0" xfId="0">
      <alignment vertical="center" wrapText="1"/>
    </xf>
    <xf numFmtId="0" fontId="24" fillId="0" borderId="4" applyAlignment="1" pivotButton="0" quotePrefix="0" xfId="0">
      <alignment vertical="center"/>
    </xf>
    <xf numFmtId="0" fontId="24" fillId="0" borderId="5" applyAlignment="1" pivotButton="0" quotePrefix="0" xfId="0">
      <alignment vertical="center"/>
    </xf>
    <xf numFmtId="0" fontId="24" fillId="0" borderId="5" applyAlignment="1" pivotButton="0" quotePrefix="0" xfId="0">
      <alignment vertical="center" wrapText="1"/>
    </xf>
    <xf numFmtId="0" fontId="24" fillId="0" borderId="6" applyAlignment="1" pivotButton="0" quotePrefix="0" xfId="0">
      <alignment vertical="center" wrapText="1"/>
    </xf>
    <xf numFmtId="0" fontId="24" fillId="0" borderId="7" applyAlignment="1" pivotButton="0" quotePrefix="0" xfId="0">
      <alignment vertical="center"/>
    </xf>
    <xf numFmtId="0" fontId="24" fillId="0" borderId="8" applyAlignment="1" pivotButton="0" quotePrefix="0" xfId="0">
      <alignment vertical="center"/>
    </xf>
    <xf numFmtId="0" fontId="24" fillId="0" borderId="8" applyAlignment="1" pivotButton="0" quotePrefix="0" xfId="0">
      <alignment vertical="center" wrapText="1"/>
    </xf>
    <xf numFmtId="0" fontId="24" fillId="0" borderId="9" applyAlignment="1" pivotButton="0" quotePrefix="0" xfId="0">
      <alignment vertical="center" wrapText="1"/>
    </xf>
    <xf numFmtId="0" fontId="24" fillId="0" borderId="0" applyAlignment="1" pivotButton="0" quotePrefix="0" xfId="0">
      <alignment vertical="center"/>
    </xf>
    <xf numFmtId="0" fontId="24" fillId="17" borderId="0" applyAlignment="1" pivotButton="0" quotePrefix="0" xfId="0">
      <alignment vertical="center"/>
    </xf>
  </cellXfs>
  <cellStyles count="2">
    <cellStyle name="Normal" xfId="0" builtinId="0"/>
    <cellStyle name="Normal 2" xfId="1"/>
  </cellStyles>
  <dxfs count="28">
    <dxf>
      <font>
        <name val="Calibri"/>
        <family val="2"/>
        <strike val="0"/>
        <outline val="0"/>
        <shadow val="0"/>
        <condense val="0"/>
        <color auto="1"/>
        <extend val="0"/>
        <sz val="10"/>
        <vertAlign val="baseline"/>
      </font>
      <numFmt numFmtId="1" formatCode="0"/>
      <alignment horizontal="left" vertical="center" wrapText="1"/>
      <border outline="0">
        <left style="hair">
          <color theme="0" tint="-0.249946592608417"/>
        </left>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left"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alignment horizontal="left"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alignment horizontal="general"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left"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left"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alignment horizontal="left"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alignment horizontal="center" vertical="center" wrapText="1"/>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border outline="0">
        <left style="hair">
          <color theme="0" tint="-0.249946592608417"/>
        </left>
        <right style="hair">
          <color theme="0" tint="-0.249946592608417"/>
        </right>
        <top style="hair">
          <color theme="0" tint="-0.249946592608417"/>
        </top>
        <bottom style="hair">
          <color theme="0" tint="-0.249946592608417"/>
        </bottom>
      </border>
    </dxf>
    <dxf>
      <font>
        <name val="Calibri"/>
        <family val="2"/>
        <strike val="0"/>
        <outline val="0"/>
        <shadow val="0"/>
        <condense val="0"/>
        <color auto="1"/>
        <extend val="0"/>
        <sz val="10"/>
        <vertAlign val="baseline"/>
      </font>
      <numFmt numFmtId="1" formatCode="0"/>
      <alignment horizontal="center" vertical="center"/>
      <border outline="0">
        <left/>
        <right style="hair">
          <color theme="0" tint="-0.249946592608417"/>
        </right>
        <top style="hair">
          <color theme="0" tint="-0.249946592608417"/>
        </top>
        <bottom style="hair">
          <color theme="0" tint="-0.249946592608417"/>
        </bottom>
      </border>
    </dxf>
    <dxf>
      <border>
        <top style="hair">
          <color theme="0" tint="-0.249946592608417"/>
        </top>
      </border>
    </dxf>
    <dxf>
      <border>
        <left style="medium">
          <color theme="0" tint="-0.249946592608417"/>
        </left>
        <right style="medium">
          <color theme="0" tint="-0.249946592608417"/>
        </right>
        <top style="medium">
          <color theme="0" tint="-0.249946592608417"/>
        </top>
        <bottom style="medium">
          <color theme="0" tint="-0.249946592608417"/>
        </bottom>
      </border>
    </dxf>
    <dxf>
      <font>
        <name val="Calibri"/>
        <family val="2"/>
        <strike val="0"/>
        <outline val="0"/>
        <shadow val="0"/>
        <condense val="0"/>
        <color auto="1"/>
        <extend val="0"/>
        <sz val="10"/>
        <vertAlign val="baseline"/>
      </font>
      <alignment horizontal="left" vertical="center" wrapText="1"/>
    </dxf>
    <dxf>
      <border>
        <bottom style="hair">
          <color theme="0" tint="-0.249946592608417"/>
        </bottom>
      </border>
    </dxf>
    <dxf>
      <font>
        <name val="Calibri"/>
        <family val="2"/>
        <b val="1"/>
        <strike val="0"/>
        <outline val="0"/>
        <shadow val="0"/>
        <condense val="0"/>
        <color theme="0" tint="-0.0499893185216834"/>
        <extend val="0"/>
        <sz val="10"/>
        <vertAlign val="baseline"/>
      </font>
      <fill>
        <patternFill patternType="solid">
          <fgColor rgb="FFC0E6F5"/>
          <bgColor theme="9" tint="0.5999938962981048"/>
        </patternFill>
      </fill>
      <alignment horizontal="left" vertical="center" wrapText="1"/>
      <border outline="0">
        <left style="hair">
          <color theme="0" tint="-0.249946592608417"/>
        </left>
        <right style="hair">
          <color theme="0" tint="-0.249946592608417"/>
        </right>
        <top/>
        <bottom/>
      </border>
    </dxf>
    <dxf>
      <font>
        <b val="1"/>
        <color rgb="009C0006"/>
      </font>
      <fill>
        <patternFill patternType="solid">
          <fgColor rgb="00FFC7CE"/>
        </patternFill>
      </fill>
    </dxf>
    <dxf>
      <border>
        <left style="thin"/>
        <right style="thin"/>
        <top style="thin"/>
        <bottom style="thin"/>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MasterList" displayName="MasterList" ref="B3:Y4" headerRowCount="1">
  <autoFilter ref="B3:Y4"/>
  <tableColumns count="24">
    <tableColumn id="1" name="SR"/>
    <tableColumn id="2" name="OPERATING UNIT"/>
    <tableColumn id="3" name="Discipline"/>
    <tableColumn id="4" name="EQUIP NO"/>
    <tableColumn id="5" name="EQUIP DESCRIPTION"/>
    <tableColumn id="6" name="Third Party Inspection Status"/>
    <tableColumn id="7" name="Pre-Assessment By OEM"/>
    <tableColumn id="8" name="Preservation"/>
    <tableColumn id="9" name="OEM Name"/>
    <tableColumn id="10" name="Remark"/>
    <tableColumn id="11" name="Gap Anaysis Remark"/>
    <tableColumn id="12" name="Walkdown EM/PF/CPY"/>
    <tableColumn id="13" name="G1-Status"/>
    <tableColumn id="14" name="G2-Status"/>
    <tableColumn id="15" name="G3-Status"/>
    <tableColumn id="16" name="G4-Status"/>
    <tableColumn id="17" name="Preserved by EU"/>
    <tableColumn id="18" name="Preservation "/>
    <tableColumn id="19" name="Action By"/>
    <tableColumn id="20" name="Expected Dispatch date"/>
    <tableColumn id="21" name="Response"/>
    <tableColumn id="22" name="Hold Category"/>
    <tableColumn id="23" name="N/A Category"/>
    <tableColumn id="24" name="Ready For Preservation"/>
  </tableColumns>
  <tableStyleInfo name="TableStyleMedium2" showFirstColumn="0" showLastColumn="0" showRowStripes="1" showColumnStripes="0"/>
</table>
</file>

<file path=xl/tables/table2.xml><?xml version="1.0" encoding="utf-8"?>
<table xmlns="http://schemas.openxmlformats.org/spreadsheetml/2006/main" id="2" name="Categories" displayName="Categories" ref="B7:H14" headerRowCount="1">
  <autoFilter ref="B7:H14"/>
  <tableColumns count="7">
    <tableColumn id="2" name="Section"/>
    <tableColumn id="3" name="Code"/>
    <tableColumn id="4" name="Description"/>
    <tableColumn id="5" name="Action By"/>
    <tableColumn id="6" name="Email Action"/>
    <tableColumn id="7" name="EnerMech Recommendation"/>
    <tableColumn id="8" name="No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Y9"/>
  <sheetViews>
    <sheetView showGridLines="0" tabSelected="1" zoomScale="90" zoomScaleNormal="90" workbookViewId="0">
      <pane xSplit="6" ySplit="3" topLeftCell="G4" activePane="bottomRight" state="frozen"/>
      <selection pane="topRight" activeCell="G1" sqref="G1"/>
      <selection pane="bottomLeft" activeCell="A4" sqref="A4"/>
      <selection pane="bottomRight" activeCell="G4" sqref="G4"/>
    </sheetView>
  </sheetViews>
  <sheetFormatPr baseColWidth="8" defaultColWidth="14.5546875" defaultRowHeight="13.8"/>
  <cols>
    <col width="2.88671875" customWidth="1" style="33" min="1" max="1"/>
    <col width="11.21875" bestFit="1" customWidth="1" style="33" min="2" max="2"/>
    <col width="26.6640625" customWidth="1" style="34" min="3" max="3"/>
    <col width="18.77734375" bestFit="1" customWidth="1" style="33" min="4" max="4"/>
    <col width="32.77734375" bestFit="1" customWidth="1" style="33" min="5" max="5"/>
    <col width="47.6640625" bestFit="1" customWidth="1" style="33" min="6" max="6"/>
    <col width="38.21875" customWidth="1" style="35" min="7" max="7"/>
    <col width="34.33203125" customWidth="1" style="33" min="8" max="8"/>
    <col width="21.109375" customWidth="1" style="34" min="9" max="9"/>
    <col width="31.5546875" customWidth="1" style="33" min="10" max="10"/>
    <col width="106.5546875" customWidth="1" style="35" min="11" max="11"/>
    <col width="29.33203125" bestFit="1" customWidth="1" style="36" min="12" max="12"/>
    <col width="31.5546875" customWidth="1" style="36" min="13" max="13"/>
    <col width="17.77734375" customWidth="1" style="36" min="14" max="14"/>
    <col width="18.21875" customWidth="1" style="36" min="15" max="17"/>
    <col width="24.6640625" customWidth="1" style="36" min="18" max="18"/>
    <col width="93.33203125" customWidth="1" style="37" min="19" max="19"/>
    <col width="14.88671875" customWidth="1" style="37" min="20" max="20"/>
    <col width="43.33203125" customWidth="1" style="33" min="21" max="21"/>
    <col width="100.77734375" customWidth="1" style="33" min="22" max="22"/>
    <col outlineLevel="1" width="16" customWidth="1" style="33" min="23" max="23"/>
    <col outlineLevel="1" width="16" customWidth="1" min="24" max="24"/>
    <col outlineLevel="1" width="22" customWidth="1" min="25" max="25"/>
    <col hidden="1" width="28" customWidth="1" min="26" max="16384"/>
  </cols>
  <sheetData>
    <row r="1"/>
    <row r="2">
      <c r="B2" s="38" t="inlineStr">
        <is>
          <t>Master Equipment list- Preservation-Unit-39(HC)                                                                              Date: {DATE}</t>
        </is>
      </c>
      <c r="C2" s="38" t="n"/>
      <c r="D2" s="38" t="n"/>
      <c r="E2" s="38" t="n"/>
      <c r="F2" s="38" t="n"/>
      <c r="G2" s="38" t="n"/>
      <c r="H2" s="38" t="n"/>
      <c r="I2" s="38" t="n"/>
      <c r="J2" s="38" t="n"/>
      <c r="K2" s="38" t="n"/>
      <c r="L2" s="69" t="n"/>
      <c r="M2" s="39" t="n"/>
      <c r="N2" s="39" t="n"/>
      <c r="O2" s="39" t="n"/>
      <c r="P2" s="39" t="n"/>
      <c r="Q2" s="39" t="n"/>
      <c r="R2" s="39" t="n"/>
      <c r="S2" s="40" t="n"/>
      <c r="T2" s="41" t="n"/>
    </row>
    <row r="3" customFormat="1" s="66">
      <c r="B3" s="63" t="inlineStr">
        <is>
          <t>SR</t>
        </is>
      </c>
      <c r="C3" s="64" t="inlineStr">
        <is>
          <t>OPERATING UNIT</t>
        </is>
      </c>
      <c r="D3" s="64" t="inlineStr">
        <is>
          <t>Discipline</t>
        </is>
      </c>
      <c r="E3" s="64" t="inlineStr">
        <is>
          <t>EQUIP NO</t>
        </is>
      </c>
      <c r="F3" s="64" t="inlineStr">
        <is>
          <t>EQUIP DESCRIPTION</t>
        </is>
      </c>
      <c r="G3" s="64" t="inlineStr">
        <is>
          <t>Third Party Inspection Status</t>
        </is>
      </c>
      <c r="H3" s="64" t="inlineStr">
        <is>
          <t>Pre-Assessment By OEM</t>
        </is>
      </c>
      <c r="I3" s="64" t="inlineStr">
        <is>
          <t>Preservation</t>
        </is>
      </c>
      <c r="J3" s="64" t="inlineStr">
        <is>
          <t>OEM Name</t>
        </is>
      </c>
      <c r="K3" s="65" t="inlineStr">
        <is>
          <t>Remark</t>
        </is>
      </c>
      <c r="L3" s="67" t="inlineStr">
        <is>
          <t>Gap Anaysis Remark</t>
        </is>
      </c>
      <c r="M3" s="67" t="inlineStr">
        <is>
          <t>Walkdown EM/PF/CPY</t>
        </is>
      </c>
      <c r="N3" s="67" t="inlineStr">
        <is>
          <t>G1-Status</t>
        </is>
      </c>
      <c r="O3" s="67" t="inlineStr">
        <is>
          <t>G2-Status</t>
        </is>
      </c>
      <c r="P3" s="67" t="inlineStr">
        <is>
          <t>G3-Status</t>
        </is>
      </c>
      <c r="Q3" s="67" t="inlineStr">
        <is>
          <t>G4-Status</t>
        </is>
      </c>
      <c r="R3" s="67" t="inlineStr">
        <is>
          <t>Preserved by EU</t>
        </is>
      </c>
      <c r="S3" s="68" t="inlineStr">
        <is>
          <t xml:space="preserve">Preservation </t>
        </is>
      </c>
      <c r="T3" s="68" t="inlineStr">
        <is>
          <t>Action By</t>
        </is>
      </c>
      <c r="U3" s="68" t="inlineStr">
        <is>
          <t>Expected Dispatch date</t>
        </is>
      </c>
      <c r="V3" s="77" t="inlineStr">
        <is>
          <t>Response</t>
        </is>
      </c>
      <c r="W3" s="100" t="inlineStr">
        <is>
          <t>Hold Category</t>
        </is>
      </c>
      <c r="X3" s="100" t="inlineStr">
        <is>
          <t>N/A Category</t>
        </is>
      </c>
      <c r="Y3" s="100" t="inlineStr">
        <is>
          <t>Ready For Preservation</t>
        </is>
      </c>
    </row>
    <row r="4" customFormat="1" s="42">
      <c r="B4" s="43" t="n"/>
      <c r="C4" s="44" t="n"/>
      <c r="D4" s="45" t="n"/>
      <c r="E4" s="45" t="n"/>
      <c r="F4" s="46" t="n"/>
      <c r="G4" s="47" t="n"/>
      <c r="H4" s="48" t="n"/>
      <c r="I4" s="48" t="n"/>
      <c r="J4" s="48" t="n"/>
      <c r="K4" s="47" t="n"/>
      <c r="L4" s="48" t="n"/>
      <c r="M4" s="48" t="n"/>
      <c r="N4" s="48" t="n"/>
      <c r="O4" s="48" t="n"/>
      <c r="P4" s="48" t="n"/>
      <c r="Q4" s="48" t="n"/>
      <c r="R4" s="48" t="n"/>
      <c r="S4" s="49" t="n"/>
      <c r="T4" s="49" t="n"/>
      <c r="U4" s="47" t="n"/>
      <c r="V4" s="50" t="n"/>
      <c r="W4" s="101" t="n"/>
      <c r="X4" s="101" t="n"/>
      <c r="Y4" s="101" t="n"/>
    </row>
    <row r="5" customFormat="1" s="42">
      <c r="B5" s="78" t="inlineStr">
        <is>
          <t>Notes:</t>
        </is>
      </c>
      <c r="L5" s="62" t="n"/>
    </row>
    <row r="6" customFormat="1" s="42">
      <c r="B6" s="78" t="inlineStr">
        <is>
          <t xml:space="preserve">Note-1: Typical tags are considered for the Electrical and Instrumentation disciplines, as these are standardised items that require a similar preservation philosophy across the plant. Therefore, a common preservation approach has been adopted for these equipment. </t>
        </is>
      </c>
      <c r="L6" s="62" t="n"/>
    </row>
    <row r="7" customFormat="1" s="42">
      <c r="B7" s="78" t="inlineStr">
        <is>
          <t>Note-2: EnerMech Team confirmation is required on the current preservation status of equipment that has passed L1 inspection and is available for preservation.</t>
        </is>
      </c>
      <c r="L7" s="62" t="n"/>
    </row>
    <row r="8" customFormat="1" s="42">
      <c r="B8" s="78" t="inlineStr">
        <is>
          <t>Note-3:Equipment currently located at the Vendor’s shop and outside the site is excluded from site preservation activities. Preservation of such equipment shall be managed separately in accordance with the applicable OEM preservation requirements upon completion of repair and testing to site from the respective workshops.</t>
        </is>
      </c>
      <c r="L8" s="62" t="n"/>
    </row>
    <row r="9" customFormat="1" s="42">
      <c r="B9" s="78" t="inlineStr">
        <is>
          <t>Note-4: No motors for Unit-39 are currently available at site for preservation activities. All HV motors are currently located at the Plenum workshop, while LV motors are undergoing repair and refurbishment at the Adyard workshop. Preservation activities for these motors shall be undertaken upon completion of repair and testing to site from the respective workshops.</t>
        </is>
      </c>
      <c r="L9" s="62" t="n"/>
    </row>
    <row r="10" customFormat="1" s="42"/>
    <row r="11" customFormat="1" s="42"/>
    <row r="12" customFormat="1" s="42"/>
    <row r="13" customFormat="1" s="42"/>
    <row r="14" customFormat="1" s="42"/>
    <row r="15" customFormat="1" s="42"/>
    <row r="16" customFormat="1" s="42"/>
    <row r="17" customFormat="1" s="42"/>
    <row r="18" customFormat="1" s="42"/>
    <row r="19" customFormat="1" s="42"/>
    <row r="20" customFormat="1" s="42"/>
    <row r="21" customFormat="1" s="42"/>
    <row r="22" customFormat="1" s="42"/>
    <row r="23" customFormat="1" s="42"/>
    <row r="24" customFormat="1" s="42"/>
    <row r="25" customFormat="1" s="42"/>
    <row r="26" customFormat="1" s="42"/>
    <row r="27" customFormat="1" s="42"/>
    <row r="28" customFormat="1" s="42"/>
    <row r="29" customFormat="1" s="42"/>
    <row r="30" customFormat="1" s="42"/>
    <row r="31" customFormat="1" s="42"/>
    <row r="32" customFormat="1" s="42"/>
    <row r="33" customFormat="1" s="42"/>
    <row r="34" customFormat="1" s="42"/>
    <row r="35" customFormat="1" s="42"/>
    <row r="36" customFormat="1" s="42"/>
    <row r="37" customFormat="1" s="42"/>
    <row r="38" customFormat="1" s="42"/>
    <row r="39" customFormat="1" s="42"/>
    <row r="40" customFormat="1" s="42"/>
    <row r="41" customFormat="1" s="42"/>
    <row r="42" customFormat="1" s="42"/>
    <row r="43" customFormat="1" s="42"/>
    <row r="44" customFormat="1" s="42"/>
    <row r="45" customFormat="1" s="42"/>
    <row r="46" customFormat="1" s="42"/>
    <row r="47" customFormat="1" s="42"/>
    <row r="48" customFormat="1" s="42"/>
    <row r="49" customFormat="1" s="42"/>
    <row r="50" customFormat="1" s="42"/>
    <row r="51" customFormat="1" s="42"/>
    <row r="52" customFormat="1" s="42"/>
    <row r="53" customFormat="1" s="42"/>
    <row r="54" customFormat="1" s="42"/>
    <row r="55" customFormat="1" s="42"/>
    <row r="56" customFormat="1" s="42"/>
    <row r="57" customFormat="1" s="42"/>
    <row r="58" customFormat="1" s="42"/>
    <row r="59" customFormat="1" s="42"/>
    <row r="60" customFormat="1" s="42"/>
    <row r="61" customFormat="1" s="42"/>
    <row r="62" customFormat="1" s="42"/>
    <row r="63" customFormat="1" s="42"/>
    <row r="64" customFormat="1" s="42"/>
    <row r="65" customFormat="1" s="42"/>
    <row r="66" customFormat="1" s="42"/>
    <row r="67" customFormat="1" s="42"/>
    <row r="68" customFormat="1" s="42"/>
  </sheetData>
  <mergeCells count="5">
    <mergeCell ref="B8:K8"/>
    <mergeCell ref="B9:K9"/>
    <mergeCell ref="B7:K7"/>
    <mergeCell ref="B6:K6"/>
    <mergeCell ref="B5:K5"/>
  </mergeCells>
  <conditionalFormatting sqref="W4:X2000">
    <cfRule type="expression" priority="1" dxfId="26">
      <formula>AND($W4&lt;&gt;"",$X4&lt;&gt;"")</formula>
    </cfRule>
  </conditionalFormatting>
  <pageMargins left="0.7" right="0.7" top="0.75" bottom="0.75" header="0.3" footer="0.3"/>
  <headerFooter>
    <oddHeader>&amp;L&amp;"Aptos"&amp;1 &amp;K000000 ADNOC Classification: Internal#_x000d_</oddHeader>
    <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B2:K136"/>
  <sheetViews>
    <sheetView showGridLines="0" tabSelected="0" workbookViewId="0">
      <selection activeCell="A1" sqref="A1"/>
    </sheetView>
  </sheetViews>
  <sheetFormatPr baseColWidth="8" defaultRowHeight="15"/>
  <cols>
    <col width="2.3" customWidth="1" min="1" max="1"/>
    <col width="9.5" customWidth="1" min="2" max="2"/>
    <col width="39" customWidth="1" min="3" max="3"/>
    <col width="45" customWidth="1" min="4" max="4"/>
    <col width="14" customWidth="1" min="5" max="5"/>
    <col width="19.5" customWidth="1" min="6" max="6"/>
    <col width="41" customWidth="1" min="7" max="7"/>
    <col width="47" customWidth="1" min="8" max="8"/>
    <col width="12" customWidth="1" min="9" max="9"/>
    <col width="12" customWidth="1" min="10" max="10"/>
    <col width="14" customWidth="1" min="11" max="11"/>
  </cols>
  <sheetData>
    <row r="2">
      <c r="C2" s="102" t="inlineStr">
        <is>
          <t>UNIT-39 (HC) PRESERVATION DASHBOARD - DATED:{DATE}</t>
        </is>
      </c>
      <c r="D2" s="103" t="n"/>
      <c r="E2" s="103" t="n"/>
      <c r="F2" s="103" t="n"/>
      <c r="G2" s="103" t="n"/>
      <c r="H2" s="103" t="n"/>
      <c r="I2" s="103" t="n"/>
      <c r="J2" s="103" t="n"/>
      <c r="K2" s="104" t="n"/>
    </row>
    <row r="3">
      <c r="C3" s="105">
        <f>"Total equipment entries: "&amp;H5&amp;" (Static and Rotating)"</f>
        <v/>
      </c>
      <c r="D3" s="106" t="n"/>
      <c r="E3" s="106" t="n"/>
      <c r="F3" s="106" t="n"/>
      <c r="G3" s="106" t="n"/>
      <c r="H3" s="106" t="n"/>
      <c r="I3" s="106" t="n"/>
      <c r="J3" s="106" t="n"/>
      <c r="K3" s="107" t="n"/>
    </row>
    <row r="4">
      <c r="C4" s="108" t="inlineStr">
        <is>
          <t>Activity</t>
        </is>
      </c>
      <c r="D4" s="109" t="inlineStr">
        <is>
          <t>Completed</t>
        </is>
      </c>
      <c r="E4" s="109" t="inlineStr">
        <is>
          <t>Pending</t>
        </is>
      </c>
      <c r="F4" s="109" t="inlineStr">
        <is>
          <t>Hold</t>
        </is>
      </c>
      <c r="G4" s="109" t="inlineStr">
        <is>
          <t>N/A / Other</t>
        </is>
      </c>
      <c r="H4" s="109" t="inlineStr">
        <is>
          <t>Total</t>
        </is>
      </c>
      <c r="I4" s="109" t="inlineStr">
        <is>
          <t>Completion %</t>
        </is>
      </c>
      <c r="J4" s="109" t="inlineStr"/>
      <c r="K4" s="110" t="inlineStr"/>
    </row>
    <row r="5">
      <c r="C5" s="111" t="inlineStr">
        <is>
          <t>Walkdown</t>
        </is>
      </c>
      <c r="D5" s="112">
        <f>COUNTIFS(MasterList[Discipline],"&lt;&gt;Electrical",MasterList[Discipline],"&lt;&gt;Instrumentation",MasterList[Discipline],"&lt;&gt;E&amp;I",MasterList[Walkdown EM/PF/CPY],"Completed*")</f>
        <v/>
      </c>
      <c r="E5" s="112">
        <f>COUNTIFS(MasterList[Discipline],"&lt;&gt;Electrical",MasterList[Discipline],"&lt;&gt;Instrumentation",MasterList[Discipline],"&lt;&gt;E&amp;I",MasterList[Walkdown EM/PF/CPY],"Ongoing")</f>
        <v/>
      </c>
      <c r="F5" s="112">
        <f>COUNTIFS(MasterList[Discipline],"&lt;&gt;Electrical",MasterList[Discipline],"&lt;&gt;Instrumentation",MasterList[Discipline],"&lt;&gt;E&amp;I",MasterList[Walkdown EM/PF/CPY],"Hold")</f>
        <v/>
      </c>
      <c r="G5" s="112">
        <f>H5-D5-E5-F5</f>
        <v/>
      </c>
      <c r="H5" s="113">
        <f>COUNTIFS(MasterList[Discipline],"&lt;&gt;Electrical",MasterList[Discipline],"&lt;&gt;Instrumentation",MasterList[Discipline],"&lt;&gt;E&amp;I",MasterList[EQUIP NO],"&lt;&gt;")</f>
        <v/>
      </c>
      <c r="I5" s="114">
        <f>IFERROR(D5/H5,0)</f>
        <v/>
      </c>
      <c r="J5" s="115" t="n"/>
      <c r="K5" s="116" t="n"/>
    </row>
    <row r="6">
      <c r="C6" s="111" t="inlineStr">
        <is>
          <t>G1- Product Drain</t>
        </is>
      </c>
      <c r="D6" s="112">
        <f>COUNTIFS(MasterList[Discipline],"&lt;&gt;Electrical",MasterList[Discipline],"&lt;&gt;Instrumentation",MasterList[Discipline],"&lt;&gt;E&amp;I",MasterList[G1-Status],"Completed*")</f>
        <v/>
      </c>
      <c r="E6" s="112">
        <f>COUNTIFS(MasterList[Discipline],"&lt;&gt;Electrical",MasterList[Discipline],"&lt;&gt;Instrumentation",MasterList[Discipline],"&lt;&gt;E&amp;I",MasterList[G1-Status],"Ongoing")</f>
        <v/>
      </c>
      <c r="F6" s="112">
        <f>COUNTIFS(MasterList[Discipline],"&lt;&gt;Electrical",MasterList[Discipline],"&lt;&gt;Instrumentation",MasterList[Discipline],"&lt;&gt;E&amp;I",MasterList[G1-Status],"Hold")</f>
        <v/>
      </c>
      <c r="G6" s="112">
        <f>H6-D6-E6-F6</f>
        <v/>
      </c>
      <c r="H6" s="113">
        <f>COUNTIFS(MasterList[Discipline],"&lt;&gt;Electrical",MasterList[Discipline],"&lt;&gt;Instrumentation",MasterList[Discipline],"&lt;&gt;E&amp;I",MasterList[EQUIP NO],"&lt;&gt;")</f>
        <v/>
      </c>
      <c r="I6" s="114">
        <f>IFERROR(D6/H6,0)</f>
        <v/>
      </c>
      <c r="J6" s="115" t="n"/>
      <c r="K6" s="116" t="n"/>
    </row>
    <row r="7">
      <c r="C7" s="111" t="inlineStr">
        <is>
          <t>G2 - Dew-Point</t>
        </is>
      </c>
      <c r="D7" s="112">
        <f>COUNTIFS(MasterList[Discipline],"&lt;&gt;Electrical",MasterList[Discipline],"&lt;&gt;Instrumentation",MasterList[Discipline],"&lt;&gt;E&amp;I",MasterList[G2-Status],"Completed*")</f>
        <v/>
      </c>
      <c r="E7" s="112">
        <f>COUNTIFS(MasterList[Discipline],"&lt;&gt;Electrical",MasterList[Discipline],"&lt;&gt;Instrumentation",MasterList[Discipline],"&lt;&gt;E&amp;I",MasterList[G2-Status],"Ongoing")</f>
        <v/>
      </c>
      <c r="F7" s="112">
        <f>COUNTIFS(MasterList[Discipline],"&lt;&gt;Electrical",MasterList[Discipline],"&lt;&gt;Instrumentation",MasterList[Discipline],"&lt;&gt;E&amp;I",MasterList[G2-Status],"Hold")</f>
        <v/>
      </c>
      <c r="G7" s="112">
        <f>H7-D7-E7-F7</f>
        <v/>
      </c>
      <c r="H7" s="113">
        <f>COUNTIFS(MasterList[Discipline],"&lt;&gt;Electrical",MasterList[Discipline],"&lt;&gt;Instrumentation",MasterList[Discipline],"&lt;&gt;E&amp;I",MasterList[EQUIP NO],"&lt;&gt;")</f>
        <v/>
      </c>
      <c r="I7" s="114">
        <f>IFERROR(D7/H7,0)</f>
        <v/>
      </c>
      <c r="J7" s="115" t="n"/>
      <c r="K7" s="116" t="n"/>
    </row>
    <row r="8">
      <c r="C8" s="111" t="inlineStr">
        <is>
          <t>G3 - O2%</t>
        </is>
      </c>
      <c r="D8" s="112">
        <f>COUNTIFS(MasterList[Discipline],"&lt;&gt;Electrical",MasterList[Discipline],"&lt;&gt;Instrumentation",MasterList[Discipline],"&lt;&gt;E&amp;I",MasterList[G3-Status],"Completed*")</f>
        <v/>
      </c>
      <c r="E8" s="112">
        <f>COUNTIFS(MasterList[Discipline],"&lt;&gt;Electrical",MasterList[Discipline],"&lt;&gt;Instrumentation",MasterList[Discipline],"&lt;&gt;E&amp;I",MasterList[G3-Status],"Ongoing")</f>
        <v/>
      </c>
      <c r="F8" s="112">
        <f>COUNTIFS(MasterList[Discipline],"&lt;&gt;Electrical",MasterList[Discipline],"&lt;&gt;Instrumentation",MasterList[Discipline],"&lt;&gt;E&amp;I",MasterList[G3-Status],"Hold")</f>
        <v/>
      </c>
      <c r="G8" s="112">
        <f>H8-D8-E8-F8</f>
        <v/>
      </c>
      <c r="H8" s="113">
        <f>COUNTIFS(MasterList[Discipline],"&lt;&gt;Electrical",MasterList[Discipline],"&lt;&gt;Instrumentation",MasterList[Discipline],"&lt;&gt;E&amp;I",MasterList[EQUIP NO],"&lt;&gt;")</f>
        <v/>
      </c>
      <c r="I8" s="114">
        <f>IFERROR(D8/H8,0)</f>
        <v/>
      </c>
      <c r="J8" s="115" t="n"/>
      <c r="K8" s="116" t="n"/>
    </row>
    <row r="9">
      <c r="C9" s="117" t="inlineStr">
        <is>
          <t>G4 - N2 Blanketing</t>
        </is>
      </c>
      <c r="D9" s="118">
        <f>COUNTIFS(MasterList[Discipline],"&lt;&gt;Electrical",MasterList[Discipline],"&lt;&gt;Instrumentation",MasterList[Discipline],"&lt;&gt;E&amp;I",MasterList[G4-Status],"Completed*")</f>
        <v/>
      </c>
      <c r="E9" s="118">
        <f>COUNTIFS(MasterList[Discipline],"&lt;&gt;Electrical",MasterList[Discipline],"&lt;&gt;Instrumentation",MasterList[Discipline],"&lt;&gt;E&amp;I",MasterList[G4-Status],"Ongoing")</f>
        <v/>
      </c>
      <c r="F9" s="118">
        <f>COUNTIFS(MasterList[Discipline],"&lt;&gt;Electrical",MasterList[Discipline],"&lt;&gt;Instrumentation",MasterList[Discipline],"&lt;&gt;E&amp;I",MasterList[G4-Status],"Hold")</f>
        <v/>
      </c>
      <c r="G9" s="118">
        <f>H9-D9-E9-F9</f>
        <v/>
      </c>
      <c r="H9" s="119">
        <f>COUNTIFS(MasterList[Discipline],"&lt;&gt;Electrical",MasterList[Discipline],"&lt;&gt;Instrumentation",MasterList[Discipline],"&lt;&gt;E&amp;I",MasterList[EQUIP NO],"&lt;&gt;")</f>
        <v/>
      </c>
      <c r="I9" s="120">
        <f>IFERROR(D9/H9,0)</f>
        <v/>
      </c>
      <c r="J9" s="121" t="n"/>
      <c r="K9" s="122" t="n"/>
    </row>
    <row r="11">
      <c r="C11" s="102" t="inlineStr">
        <is>
          <t>DISCIPLINE-WISE PRESERVATION STATUS</t>
        </is>
      </c>
      <c r="D11" s="103" t="n"/>
      <c r="E11" s="103" t="n"/>
      <c r="F11" s="103" t="n"/>
      <c r="G11" s="103" t="n"/>
      <c r="H11" s="103" t="n"/>
      <c r="I11" s="103" t="n"/>
      <c r="J11" s="103" t="n"/>
      <c r="K11" s="104" t="n"/>
    </row>
    <row r="12">
      <c r="C12" s="108" t="inlineStr">
        <is>
          <t>Discipline</t>
        </is>
      </c>
      <c r="D12" s="109" t="inlineStr">
        <is>
          <t>Total Tags</t>
        </is>
      </c>
      <c r="E12" s="109" t="inlineStr">
        <is>
          <t>Walkdown Done</t>
        </is>
      </c>
      <c r="F12" s="109" t="inlineStr">
        <is>
          <t>G1 Done</t>
        </is>
      </c>
      <c r="G12" s="109" t="inlineStr">
        <is>
          <t>G2 Done</t>
        </is>
      </c>
      <c r="H12" s="109" t="inlineStr">
        <is>
          <t>G3 Done</t>
        </is>
      </c>
      <c r="I12" s="109" t="inlineStr">
        <is>
          <t>G4 Done</t>
        </is>
      </c>
      <c r="J12" s="109" t="inlineStr">
        <is>
          <t xml:space="preserve">EU -Preserved </t>
        </is>
      </c>
      <c r="K12" s="110" t="inlineStr">
        <is>
          <t>Overall Progress</t>
        </is>
      </c>
    </row>
    <row r="13">
      <c r="C13" s="111" t="inlineStr">
        <is>
          <t>Static</t>
        </is>
      </c>
      <c r="D13" s="112">
        <f>COUNTIFS(MasterList[Discipline],"&lt;&gt;Electrical",MasterList[Discipline],"&lt;&gt;Instrumentation",MasterList[Discipline],"&lt;&gt;E&amp;I",MasterList[Discipline],"*Static*",MasterList[EQUIP NO],"&lt;&gt;")</f>
        <v/>
      </c>
      <c r="E13" s="112">
        <f>COUNTIFS(MasterList[Discipline],"&lt;&gt;Electrical",MasterList[Discipline],"&lt;&gt;Instrumentation",MasterList[Discipline],"&lt;&gt;E&amp;I",MasterList[Discipline],"*Static*",MasterList[Walkdown EM/PF/CPY],"Completed*")</f>
        <v/>
      </c>
      <c r="F13" s="112">
        <f>COUNTIFS(MasterList[Discipline],"&lt;&gt;Electrical",MasterList[Discipline],"&lt;&gt;Instrumentation",MasterList[Discipline],"&lt;&gt;E&amp;I",MasterList[Discipline],"*Static*",MasterList[G1-Status],"Completed*")</f>
        <v/>
      </c>
      <c r="G13" s="112">
        <f>COUNTIFS(MasterList[Discipline],"&lt;&gt;Electrical",MasterList[Discipline],"&lt;&gt;Instrumentation",MasterList[Discipline],"&lt;&gt;E&amp;I",MasterList[Discipline],"*Static*",MasterList[G2-Status],"Completed*")</f>
        <v/>
      </c>
      <c r="H13" s="112">
        <f>COUNTIFS(MasterList[Discipline],"&lt;&gt;Electrical",MasterList[Discipline],"&lt;&gt;Instrumentation",MasterList[Discipline],"&lt;&gt;E&amp;I",MasterList[Discipline],"*Static*",MasterList[G3-Status],"Completed*")</f>
        <v/>
      </c>
      <c r="I13" s="112">
        <f>COUNTIFS(MasterList[Discipline],"&lt;&gt;Electrical",MasterList[Discipline],"&lt;&gt;Instrumentation",MasterList[Discipline],"&lt;&gt;E&amp;I",MasterList[Discipline],"*Static*",MasterList[G4-Status],"Completed*")</f>
        <v/>
      </c>
      <c r="J13" s="112">
        <f>COUNTIFS(MasterList[Discipline],"&lt;&gt;Electrical",MasterList[Discipline],"&lt;&gt;Instrumentation",MasterList[Discipline],"&lt;&gt;E&amp;I",MasterList[Discipline],"*Static*",MasterList[Preserved by EU],"Yes")</f>
        <v/>
      </c>
      <c r="K13" s="123">
        <f>IFERROR((E13+F13+G13+H13+I13)/(D13*5),0)</f>
        <v/>
      </c>
    </row>
    <row r="14">
      <c r="C14" s="111" t="inlineStr">
        <is>
          <t>Rotating</t>
        </is>
      </c>
      <c r="D14" s="112">
        <f>COUNTIFS(MasterList[Discipline],"&lt;&gt;Electrical",MasterList[Discipline],"&lt;&gt;Instrumentation",MasterList[Discipline],"&lt;&gt;E&amp;I",MasterList[Discipline],"*Rotating*",MasterList[EQUIP NO],"&lt;&gt;")</f>
        <v/>
      </c>
      <c r="E14" s="112">
        <f>COUNTIFS(MasterList[Discipline],"&lt;&gt;Electrical",MasterList[Discipline],"&lt;&gt;Instrumentation",MasterList[Discipline],"&lt;&gt;E&amp;I",MasterList[Discipline],"*Rotating*",MasterList[Walkdown EM/PF/CPY],"Completed*")</f>
        <v/>
      </c>
      <c r="F14" s="112">
        <f>COUNTIFS(MasterList[Discipline],"&lt;&gt;Electrical",MasterList[Discipline],"&lt;&gt;Instrumentation",MasterList[Discipline],"&lt;&gt;E&amp;I",MasterList[Discipline],"*Rotating*",MasterList[G1-Status],"Completed*")</f>
        <v/>
      </c>
      <c r="G14" s="112">
        <f>COUNTIFS(MasterList[Discipline],"&lt;&gt;Electrical",MasterList[Discipline],"&lt;&gt;Instrumentation",MasterList[Discipline],"&lt;&gt;E&amp;I",MasterList[Discipline],"*Rotating*",MasterList[G2-Status],"Completed*")</f>
        <v/>
      </c>
      <c r="H14" s="112">
        <f>COUNTIFS(MasterList[Discipline],"&lt;&gt;Electrical",MasterList[Discipline],"&lt;&gt;Instrumentation",MasterList[Discipline],"&lt;&gt;E&amp;I",MasterList[Discipline],"*Rotating*",MasterList[G3-Status],"Completed*")</f>
        <v/>
      </c>
      <c r="I14" s="112">
        <f>COUNTIFS(MasterList[Discipline],"&lt;&gt;Electrical",MasterList[Discipline],"&lt;&gt;Instrumentation",MasterList[Discipline],"&lt;&gt;E&amp;I",MasterList[Discipline],"*Rotating*",MasterList[G4-Status],"Completed*")</f>
        <v/>
      </c>
      <c r="J14" s="112">
        <f>COUNTIFS(MasterList[Discipline],"&lt;&gt;Electrical",MasterList[Discipline],"&lt;&gt;Instrumentation",MasterList[Discipline],"&lt;&gt;E&amp;I",MasterList[Discipline],"*Rotating*",MasterList[Preserved by EU],"Yes")</f>
        <v/>
      </c>
      <c r="K14" s="123">
        <f>IFERROR((E14+F14+G14+H14+I14)/(D14*5),0)</f>
        <v/>
      </c>
    </row>
    <row r="15">
      <c r="C15" s="111" t="inlineStr">
        <is>
          <t>Package Mechanical</t>
        </is>
      </c>
      <c r="D15" s="112">
        <f>COUNTIFS(MasterList[Discipline],"&lt;&gt;Electrical",MasterList[Discipline],"&lt;&gt;Instrumentation",MasterList[Discipline],"&lt;&gt;E&amp;I",MasterList[Discipline],"*Package Mechanical*",MasterList[EQUIP NO],"&lt;&gt;")</f>
        <v/>
      </c>
      <c r="E15" s="112">
        <f>COUNTIFS(MasterList[Discipline],"&lt;&gt;Electrical",MasterList[Discipline],"&lt;&gt;Instrumentation",MasterList[Discipline],"&lt;&gt;E&amp;I",MasterList[Discipline],"*Package Mechanical*",MasterList[Walkdown EM/PF/CPY],"Completed*")</f>
        <v/>
      </c>
      <c r="F15" s="112">
        <f>COUNTIFS(MasterList[Discipline],"&lt;&gt;Electrical",MasterList[Discipline],"&lt;&gt;Instrumentation",MasterList[Discipline],"&lt;&gt;E&amp;I",MasterList[Discipline],"*Package Mechanical*",MasterList[G1-Status],"Completed*")</f>
        <v/>
      </c>
      <c r="G15" s="112">
        <f>COUNTIFS(MasterList[Discipline],"&lt;&gt;Electrical",MasterList[Discipline],"&lt;&gt;Instrumentation",MasterList[Discipline],"&lt;&gt;E&amp;I",MasterList[Discipline],"*Package Mechanical*",MasterList[G2-Status],"Completed*")</f>
        <v/>
      </c>
      <c r="H15" s="112">
        <f>COUNTIFS(MasterList[Discipline],"&lt;&gt;Electrical",MasterList[Discipline],"&lt;&gt;Instrumentation",MasterList[Discipline],"&lt;&gt;E&amp;I",MasterList[Discipline],"*Package Mechanical*",MasterList[G3-Status],"Completed*")</f>
        <v/>
      </c>
      <c r="I15" s="112">
        <f>COUNTIFS(MasterList[Discipline],"&lt;&gt;Electrical",MasterList[Discipline],"&lt;&gt;Instrumentation",MasterList[Discipline],"&lt;&gt;E&amp;I",MasterList[Discipline],"*Package Mechanical*",MasterList[G4-Status],"Completed*")</f>
        <v/>
      </c>
      <c r="J15" s="112">
        <f>COUNTIFS(MasterList[Discipline],"&lt;&gt;Electrical",MasterList[Discipline],"&lt;&gt;Instrumentation",MasterList[Discipline],"&lt;&gt;E&amp;I",MasterList[Discipline],"*Package Mechanical*",MasterList[Preserved by EU],"Yes")</f>
        <v/>
      </c>
      <c r="K15" s="123">
        <f>IFERROR((E15+F15+G15+H15+I15)/(D15*5),0)</f>
        <v/>
      </c>
    </row>
    <row r="16">
      <c r="C16" s="117" t="inlineStr">
        <is>
          <t>Piping [4 Circuits]</t>
        </is>
      </c>
      <c r="D16" s="118" t="n"/>
      <c r="E16" s="118" t="n"/>
      <c r="F16" s="118" t="n"/>
      <c r="G16" s="118" t="n"/>
      <c r="H16" s="118" t="n"/>
      <c r="I16" s="118" t="n"/>
      <c r="J16" s="118" t="n"/>
      <c r="K16" s="124">
        <f>IFERROR((E16+F16+G16+H16+I16)/(D16*5),0)</f>
        <v/>
      </c>
    </row>
    <row r="19">
      <c r="B19" s="125" t="inlineStr">
        <is>
          <t>Category #</t>
        </is>
      </c>
      <c r="C19" s="126" t="inlineStr">
        <is>
          <t>Hold Category Description</t>
        </is>
      </c>
      <c r="D19" s="127" t="inlineStr">
        <is>
          <t>Tag</t>
        </is>
      </c>
      <c r="E19" s="128" t="inlineStr">
        <is>
          <t>Action By</t>
        </is>
      </c>
      <c r="F19" s="128" t="inlineStr">
        <is>
          <t>Email Action</t>
        </is>
      </c>
      <c r="G19" s="128" t="inlineStr">
        <is>
          <t>EnerMech Recommendation</t>
        </is>
      </c>
      <c r="H19" s="129" t="inlineStr">
        <is>
          <t>Note</t>
        </is>
      </c>
    </row>
    <row r="20">
      <c r="B20" s="130">
        <f>IFERROR(INDEX(Categories[Code],_xlfn.AGGREGATE(15,6,(ROW(Categories[Code])-ROW(Categories[#Headers]))/(Categories[Section]="Hold"),1))&amp;"","")</f>
        <v/>
      </c>
      <c r="C20" s="115">
        <f>IFERROR(INDEX(Categories[Description],_xlfn.AGGREGATE(15,6,(ROW(Categories[Description])-ROW(Categories[#Headers]))/(Categories[Section]="Hold"),1))&amp;"","")</f>
        <v/>
      </c>
      <c r="D20" s="113">
        <f>IF($B20="","",COUNTIFS(MasterList[Discipline],"&lt;&gt;Electrical",MasterList[Discipline],"&lt;&gt;Instrumentation",MasterList[Discipline],"&lt;&gt;E&amp;I",MasterList[Hold Category],$B20))</f>
        <v/>
      </c>
      <c r="E20" s="115">
        <f>IFERROR(INDEX(Categories[Action By],_xlfn.AGGREGATE(15,6,(ROW(Categories[Action By])-ROW(Categories[#Headers]))/(Categories[Section]="Hold"),1))&amp;"","")</f>
        <v/>
      </c>
      <c r="F20" s="115">
        <f>IFERROR(INDEX(Categories[Email Action],_xlfn.AGGREGATE(15,6,(ROW(Categories[Email Action])-ROW(Categories[#Headers]))/(Categories[Section]="Hold"),1))&amp;"","")</f>
        <v/>
      </c>
      <c r="G20" s="115">
        <f>IFERROR(INDEX(Categories[EnerMech Recommendation],_xlfn.AGGREGATE(15,6,(ROW(Categories[EnerMech Recommendation])-ROW(Categories[#Headers]))/(Categories[Section]="Hold"),1))&amp;"","")</f>
        <v/>
      </c>
      <c r="H20" s="116">
        <f>IFERROR(INDEX(Categories[Note],_xlfn.AGGREGATE(15,6,(ROW(Categories[Note])-ROW(Categories[#Headers]))/(Categories[Section]="Hold"),1))&amp;"","")</f>
        <v/>
      </c>
    </row>
    <row r="21">
      <c r="B21" s="130">
        <f>IFERROR(INDEX(Categories[Code],_xlfn.AGGREGATE(15,6,(ROW(Categories[Code])-ROW(Categories[#Headers]))/(Categories[Section]="Hold"),2))&amp;"","")</f>
        <v/>
      </c>
      <c r="C21" s="115">
        <f>IFERROR(INDEX(Categories[Description],_xlfn.AGGREGATE(15,6,(ROW(Categories[Description])-ROW(Categories[#Headers]))/(Categories[Section]="Hold"),2))&amp;"","")</f>
        <v/>
      </c>
      <c r="D21" s="113">
        <f>IF($B21="","",COUNTIFS(MasterList[Discipline],"&lt;&gt;Electrical",MasterList[Discipline],"&lt;&gt;Instrumentation",MasterList[Discipline],"&lt;&gt;E&amp;I",MasterList[Hold Category],$B21))</f>
        <v/>
      </c>
      <c r="E21" s="115">
        <f>IFERROR(INDEX(Categories[Action By],_xlfn.AGGREGATE(15,6,(ROW(Categories[Action By])-ROW(Categories[#Headers]))/(Categories[Section]="Hold"),2))&amp;"","")</f>
        <v/>
      </c>
      <c r="F21" s="115">
        <f>IFERROR(INDEX(Categories[Email Action],_xlfn.AGGREGATE(15,6,(ROW(Categories[Email Action])-ROW(Categories[#Headers]))/(Categories[Section]="Hold"),2))&amp;"","")</f>
        <v/>
      </c>
      <c r="G21" s="115">
        <f>IFERROR(INDEX(Categories[EnerMech Recommendation],_xlfn.AGGREGATE(15,6,(ROW(Categories[EnerMech Recommendation])-ROW(Categories[#Headers]))/(Categories[Section]="Hold"),2))&amp;"","")</f>
        <v/>
      </c>
      <c r="H21" s="116">
        <f>IFERROR(INDEX(Categories[Note],_xlfn.AGGREGATE(15,6,(ROW(Categories[Note])-ROW(Categories[#Headers]))/(Categories[Section]="Hold"),2))&amp;"","")</f>
        <v/>
      </c>
    </row>
    <row r="22">
      <c r="B22" s="130">
        <f>IFERROR(INDEX(Categories[Code],_xlfn.AGGREGATE(15,6,(ROW(Categories[Code])-ROW(Categories[#Headers]))/(Categories[Section]="Hold"),3))&amp;"","")</f>
        <v/>
      </c>
      <c r="C22" s="115">
        <f>IFERROR(INDEX(Categories[Description],_xlfn.AGGREGATE(15,6,(ROW(Categories[Description])-ROW(Categories[#Headers]))/(Categories[Section]="Hold"),3))&amp;"","")</f>
        <v/>
      </c>
      <c r="D22" s="113">
        <f>IF($B22="","",COUNTIFS(MasterList[Discipline],"&lt;&gt;Electrical",MasterList[Discipline],"&lt;&gt;Instrumentation",MasterList[Discipline],"&lt;&gt;E&amp;I",MasterList[Hold Category],$B22))</f>
        <v/>
      </c>
      <c r="E22" s="115">
        <f>IFERROR(INDEX(Categories[Action By],_xlfn.AGGREGATE(15,6,(ROW(Categories[Action By])-ROW(Categories[#Headers]))/(Categories[Section]="Hold"),3))&amp;"","")</f>
        <v/>
      </c>
      <c r="F22" s="115">
        <f>IFERROR(INDEX(Categories[Email Action],_xlfn.AGGREGATE(15,6,(ROW(Categories[Email Action])-ROW(Categories[#Headers]))/(Categories[Section]="Hold"),3))&amp;"","")</f>
        <v/>
      </c>
      <c r="G22" s="115">
        <f>IFERROR(INDEX(Categories[EnerMech Recommendation],_xlfn.AGGREGATE(15,6,(ROW(Categories[EnerMech Recommendation])-ROW(Categories[#Headers]))/(Categories[Section]="Hold"),3))&amp;"","")</f>
        <v/>
      </c>
      <c r="H22" s="116">
        <f>IFERROR(INDEX(Categories[Note],_xlfn.AGGREGATE(15,6,(ROW(Categories[Note])-ROW(Categories[#Headers]))/(Categories[Section]="Hold"),3))&amp;"","")</f>
        <v/>
      </c>
    </row>
    <row r="23">
      <c r="B23" s="130">
        <f>IFERROR(INDEX(Categories[Code],_xlfn.AGGREGATE(15,6,(ROW(Categories[Code])-ROW(Categories[#Headers]))/(Categories[Section]="Hold"),4))&amp;"","")</f>
        <v/>
      </c>
      <c r="C23" s="115">
        <f>IFERROR(INDEX(Categories[Description],_xlfn.AGGREGATE(15,6,(ROW(Categories[Description])-ROW(Categories[#Headers]))/(Categories[Section]="Hold"),4))&amp;"","")</f>
        <v/>
      </c>
      <c r="D23" s="113">
        <f>IF($B23="","",COUNTIFS(MasterList[Discipline],"&lt;&gt;Electrical",MasterList[Discipline],"&lt;&gt;Instrumentation",MasterList[Discipline],"&lt;&gt;E&amp;I",MasterList[Hold Category],$B23))</f>
        <v/>
      </c>
      <c r="E23" s="115">
        <f>IFERROR(INDEX(Categories[Action By],_xlfn.AGGREGATE(15,6,(ROW(Categories[Action By])-ROW(Categories[#Headers]))/(Categories[Section]="Hold"),4))&amp;"","")</f>
        <v/>
      </c>
      <c r="F23" s="115">
        <f>IFERROR(INDEX(Categories[Email Action],_xlfn.AGGREGATE(15,6,(ROW(Categories[Email Action])-ROW(Categories[#Headers]))/(Categories[Section]="Hold"),4))&amp;"","")</f>
        <v/>
      </c>
      <c r="G23" s="115">
        <f>IFERROR(INDEX(Categories[EnerMech Recommendation],_xlfn.AGGREGATE(15,6,(ROW(Categories[EnerMech Recommendation])-ROW(Categories[#Headers]))/(Categories[Section]="Hold"),4))&amp;"","")</f>
        <v/>
      </c>
      <c r="H23" s="116">
        <f>IFERROR(INDEX(Categories[Note],_xlfn.AGGREGATE(15,6,(ROW(Categories[Note])-ROW(Categories[#Headers]))/(Categories[Section]="Hold"),4))&amp;"","")</f>
        <v/>
      </c>
    </row>
    <row r="24">
      <c r="B24" s="130">
        <f>IFERROR(INDEX(Categories[Code],_xlfn.AGGREGATE(15,6,(ROW(Categories[Code])-ROW(Categories[#Headers]))/(Categories[Section]="Hold"),5))&amp;"","")</f>
        <v/>
      </c>
      <c r="C24" s="115">
        <f>IFERROR(INDEX(Categories[Description],_xlfn.AGGREGATE(15,6,(ROW(Categories[Description])-ROW(Categories[#Headers]))/(Categories[Section]="Hold"),5))&amp;"","")</f>
        <v/>
      </c>
      <c r="D24" s="113">
        <f>IF($B24="","",COUNTIFS(MasterList[Discipline],"&lt;&gt;Electrical",MasterList[Discipline],"&lt;&gt;Instrumentation",MasterList[Discipline],"&lt;&gt;E&amp;I",MasterList[Hold Category],$B24))</f>
        <v/>
      </c>
      <c r="E24" s="115">
        <f>IFERROR(INDEX(Categories[Action By],_xlfn.AGGREGATE(15,6,(ROW(Categories[Action By])-ROW(Categories[#Headers]))/(Categories[Section]="Hold"),5))&amp;"","")</f>
        <v/>
      </c>
      <c r="F24" s="115">
        <f>IFERROR(INDEX(Categories[Email Action],_xlfn.AGGREGATE(15,6,(ROW(Categories[Email Action])-ROW(Categories[#Headers]))/(Categories[Section]="Hold"),5))&amp;"","")</f>
        <v/>
      </c>
      <c r="G24" s="115">
        <f>IFERROR(INDEX(Categories[EnerMech Recommendation],_xlfn.AGGREGATE(15,6,(ROW(Categories[EnerMech Recommendation])-ROW(Categories[#Headers]))/(Categories[Section]="Hold"),5))&amp;"","")</f>
        <v/>
      </c>
      <c r="H24" s="116">
        <f>IFERROR(INDEX(Categories[Note],_xlfn.AGGREGATE(15,6,(ROW(Categories[Note])-ROW(Categories[#Headers]))/(Categories[Section]="Hold"),5))&amp;"","")</f>
        <v/>
      </c>
    </row>
    <row r="25" hidden="1">
      <c r="B25" s="130">
        <f>IFERROR(INDEX(Categories[Code],_xlfn.AGGREGATE(15,6,(ROW(Categories[Code])-ROW(Categories[#Headers]))/(Categories[Section]="Hold"),6))&amp;"","")</f>
        <v/>
      </c>
      <c r="C25" s="115">
        <f>IFERROR(INDEX(Categories[Description],_xlfn.AGGREGATE(15,6,(ROW(Categories[Description])-ROW(Categories[#Headers]))/(Categories[Section]="Hold"),6))&amp;"","")</f>
        <v/>
      </c>
      <c r="D25" s="113">
        <f>IF($B25="","",COUNTIFS(MasterList[Discipline],"&lt;&gt;Electrical",MasterList[Discipline],"&lt;&gt;Instrumentation",MasterList[Discipline],"&lt;&gt;E&amp;I",MasterList[Hold Category],$B25))</f>
        <v/>
      </c>
      <c r="E25" s="115">
        <f>IFERROR(INDEX(Categories[Action By],_xlfn.AGGREGATE(15,6,(ROW(Categories[Action By])-ROW(Categories[#Headers]))/(Categories[Section]="Hold"),6))&amp;"","")</f>
        <v/>
      </c>
      <c r="F25" s="115">
        <f>IFERROR(INDEX(Categories[Email Action],_xlfn.AGGREGATE(15,6,(ROW(Categories[Email Action])-ROW(Categories[#Headers]))/(Categories[Section]="Hold"),6))&amp;"","")</f>
        <v/>
      </c>
      <c r="G25" s="115">
        <f>IFERROR(INDEX(Categories[EnerMech Recommendation],_xlfn.AGGREGATE(15,6,(ROW(Categories[EnerMech Recommendation])-ROW(Categories[#Headers]))/(Categories[Section]="Hold"),6))&amp;"","")</f>
        <v/>
      </c>
      <c r="H25" s="116">
        <f>IFERROR(INDEX(Categories[Note],_xlfn.AGGREGATE(15,6,(ROW(Categories[Note])-ROW(Categories[#Headers]))/(Categories[Section]="Hold"),6))&amp;"","")</f>
        <v/>
      </c>
    </row>
    <row r="26" hidden="1">
      <c r="B26" s="130">
        <f>IFERROR(INDEX(Categories[Code],_xlfn.AGGREGATE(15,6,(ROW(Categories[Code])-ROW(Categories[#Headers]))/(Categories[Section]="Hold"),7))&amp;"","")</f>
        <v/>
      </c>
      <c r="C26" s="115">
        <f>IFERROR(INDEX(Categories[Description],_xlfn.AGGREGATE(15,6,(ROW(Categories[Description])-ROW(Categories[#Headers]))/(Categories[Section]="Hold"),7))&amp;"","")</f>
        <v/>
      </c>
      <c r="D26" s="113">
        <f>IF($B26="","",COUNTIFS(MasterList[Discipline],"&lt;&gt;Electrical",MasterList[Discipline],"&lt;&gt;Instrumentation",MasterList[Discipline],"&lt;&gt;E&amp;I",MasterList[Hold Category],$B26))</f>
        <v/>
      </c>
      <c r="E26" s="115">
        <f>IFERROR(INDEX(Categories[Action By],_xlfn.AGGREGATE(15,6,(ROW(Categories[Action By])-ROW(Categories[#Headers]))/(Categories[Section]="Hold"),7))&amp;"","")</f>
        <v/>
      </c>
      <c r="F26" s="115">
        <f>IFERROR(INDEX(Categories[Email Action],_xlfn.AGGREGATE(15,6,(ROW(Categories[Email Action])-ROW(Categories[#Headers]))/(Categories[Section]="Hold"),7))&amp;"","")</f>
        <v/>
      </c>
      <c r="G26" s="115">
        <f>IFERROR(INDEX(Categories[EnerMech Recommendation],_xlfn.AGGREGATE(15,6,(ROW(Categories[EnerMech Recommendation])-ROW(Categories[#Headers]))/(Categories[Section]="Hold"),7))&amp;"","")</f>
        <v/>
      </c>
      <c r="H26" s="116">
        <f>IFERROR(INDEX(Categories[Note],_xlfn.AGGREGATE(15,6,(ROW(Categories[Note])-ROW(Categories[#Headers]))/(Categories[Section]="Hold"),7))&amp;"","")</f>
        <v/>
      </c>
    </row>
    <row r="27" hidden="1">
      <c r="B27" s="130">
        <f>IFERROR(INDEX(Categories[Code],_xlfn.AGGREGATE(15,6,(ROW(Categories[Code])-ROW(Categories[#Headers]))/(Categories[Section]="Hold"),8))&amp;"","")</f>
        <v/>
      </c>
      <c r="C27" s="115">
        <f>IFERROR(INDEX(Categories[Description],_xlfn.AGGREGATE(15,6,(ROW(Categories[Description])-ROW(Categories[#Headers]))/(Categories[Section]="Hold"),8))&amp;"","")</f>
        <v/>
      </c>
      <c r="D27" s="113">
        <f>IF($B27="","",COUNTIFS(MasterList[Discipline],"&lt;&gt;Electrical",MasterList[Discipline],"&lt;&gt;Instrumentation",MasterList[Discipline],"&lt;&gt;E&amp;I",MasterList[Hold Category],$B27))</f>
        <v/>
      </c>
      <c r="E27" s="115">
        <f>IFERROR(INDEX(Categories[Action By],_xlfn.AGGREGATE(15,6,(ROW(Categories[Action By])-ROW(Categories[#Headers]))/(Categories[Section]="Hold"),8))&amp;"","")</f>
        <v/>
      </c>
      <c r="F27" s="115">
        <f>IFERROR(INDEX(Categories[Email Action],_xlfn.AGGREGATE(15,6,(ROW(Categories[Email Action])-ROW(Categories[#Headers]))/(Categories[Section]="Hold"),8))&amp;"","")</f>
        <v/>
      </c>
      <c r="G27" s="115">
        <f>IFERROR(INDEX(Categories[EnerMech Recommendation],_xlfn.AGGREGATE(15,6,(ROW(Categories[EnerMech Recommendation])-ROW(Categories[#Headers]))/(Categories[Section]="Hold"),8))&amp;"","")</f>
        <v/>
      </c>
      <c r="H27" s="116">
        <f>IFERROR(INDEX(Categories[Note],_xlfn.AGGREGATE(15,6,(ROW(Categories[Note])-ROW(Categories[#Headers]))/(Categories[Section]="Hold"),8))&amp;"","")</f>
        <v/>
      </c>
    </row>
    <row r="28" hidden="1">
      <c r="B28" s="130">
        <f>IFERROR(INDEX(Categories[Code],_xlfn.AGGREGATE(15,6,(ROW(Categories[Code])-ROW(Categories[#Headers]))/(Categories[Section]="Hold"),9))&amp;"","")</f>
        <v/>
      </c>
      <c r="C28" s="115">
        <f>IFERROR(INDEX(Categories[Description],_xlfn.AGGREGATE(15,6,(ROW(Categories[Description])-ROW(Categories[#Headers]))/(Categories[Section]="Hold"),9))&amp;"","")</f>
        <v/>
      </c>
      <c r="D28" s="113">
        <f>IF($B28="","",COUNTIFS(MasterList[Discipline],"&lt;&gt;Electrical",MasterList[Discipline],"&lt;&gt;Instrumentation",MasterList[Discipline],"&lt;&gt;E&amp;I",MasterList[Hold Category],$B28))</f>
        <v/>
      </c>
      <c r="E28" s="115">
        <f>IFERROR(INDEX(Categories[Action By],_xlfn.AGGREGATE(15,6,(ROW(Categories[Action By])-ROW(Categories[#Headers]))/(Categories[Section]="Hold"),9))&amp;"","")</f>
        <v/>
      </c>
      <c r="F28" s="115">
        <f>IFERROR(INDEX(Categories[Email Action],_xlfn.AGGREGATE(15,6,(ROW(Categories[Email Action])-ROW(Categories[#Headers]))/(Categories[Section]="Hold"),9))&amp;"","")</f>
        <v/>
      </c>
      <c r="G28" s="115">
        <f>IFERROR(INDEX(Categories[EnerMech Recommendation],_xlfn.AGGREGATE(15,6,(ROW(Categories[EnerMech Recommendation])-ROW(Categories[#Headers]))/(Categories[Section]="Hold"),9))&amp;"","")</f>
        <v/>
      </c>
      <c r="H28" s="116">
        <f>IFERROR(INDEX(Categories[Note],_xlfn.AGGREGATE(15,6,(ROW(Categories[Note])-ROW(Categories[#Headers]))/(Categories[Section]="Hold"),9))&amp;"","")</f>
        <v/>
      </c>
    </row>
    <row r="29" hidden="1">
      <c r="B29" s="130">
        <f>IFERROR(INDEX(Categories[Code],_xlfn.AGGREGATE(15,6,(ROW(Categories[Code])-ROW(Categories[#Headers]))/(Categories[Section]="Hold"),10))&amp;"","")</f>
        <v/>
      </c>
      <c r="C29" s="115">
        <f>IFERROR(INDEX(Categories[Description],_xlfn.AGGREGATE(15,6,(ROW(Categories[Description])-ROW(Categories[#Headers]))/(Categories[Section]="Hold"),10))&amp;"","")</f>
        <v/>
      </c>
      <c r="D29" s="113">
        <f>IF($B29="","",COUNTIFS(MasterList[Discipline],"&lt;&gt;Electrical",MasterList[Discipline],"&lt;&gt;Instrumentation",MasterList[Discipline],"&lt;&gt;E&amp;I",MasterList[Hold Category],$B29))</f>
        <v/>
      </c>
      <c r="E29" s="115">
        <f>IFERROR(INDEX(Categories[Action By],_xlfn.AGGREGATE(15,6,(ROW(Categories[Action By])-ROW(Categories[#Headers]))/(Categories[Section]="Hold"),10))&amp;"","")</f>
        <v/>
      </c>
      <c r="F29" s="115">
        <f>IFERROR(INDEX(Categories[Email Action],_xlfn.AGGREGATE(15,6,(ROW(Categories[Email Action])-ROW(Categories[#Headers]))/(Categories[Section]="Hold"),10))&amp;"","")</f>
        <v/>
      </c>
      <c r="G29" s="115">
        <f>IFERROR(INDEX(Categories[EnerMech Recommendation],_xlfn.AGGREGATE(15,6,(ROW(Categories[EnerMech Recommendation])-ROW(Categories[#Headers]))/(Categories[Section]="Hold"),10))&amp;"","")</f>
        <v/>
      </c>
      <c r="H29" s="116">
        <f>IFERROR(INDEX(Categories[Note],_xlfn.AGGREGATE(15,6,(ROW(Categories[Note])-ROW(Categories[#Headers]))/(Categories[Section]="Hold"),10))&amp;"","")</f>
        <v/>
      </c>
    </row>
    <row r="30">
      <c r="B30" s="131" t="inlineStr">
        <is>
          <t>Total -1</t>
        </is>
      </c>
      <c r="C30" s="132" t="n"/>
      <c r="D30" s="133">
        <f>SUM(D20:D29)</f>
        <v/>
      </c>
      <c r="E30" s="134" t="n"/>
      <c r="F30" s="134" t="n"/>
      <c r="G30" s="134" t="n"/>
      <c r="H30" s="135" t="n"/>
    </row>
    <row r="31">
      <c r="B31" s="136" t="inlineStr">
        <is>
          <t>Category #</t>
        </is>
      </c>
      <c r="C31" s="137" t="inlineStr">
        <is>
          <t>N/A Category Description</t>
        </is>
      </c>
      <c r="D31" s="138" t="inlineStr">
        <is>
          <t>Tag</t>
        </is>
      </c>
      <c r="E31" s="139" t="inlineStr">
        <is>
          <t>Action By</t>
        </is>
      </c>
      <c r="F31" s="139" t="inlineStr">
        <is>
          <t>Email Action</t>
        </is>
      </c>
      <c r="G31" s="139" t="inlineStr">
        <is>
          <t>EnerMech Recommendation</t>
        </is>
      </c>
      <c r="H31" s="140" t="inlineStr">
        <is>
          <t>Note</t>
        </is>
      </c>
    </row>
    <row r="32">
      <c r="B32" s="130">
        <f>IFERROR(INDEX(Categories[Code],_xlfn.AGGREGATE(15,6,(ROW(Categories[Code])-ROW(Categories[#Headers]))/(Categories[Section]="N/A"),1))&amp;"","")</f>
        <v/>
      </c>
      <c r="C32" s="115">
        <f>IFERROR(INDEX(Categories[Description],_xlfn.AGGREGATE(15,6,(ROW(Categories[Description])-ROW(Categories[#Headers]))/(Categories[Section]="N/A"),1))&amp;"","")</f>
        <v/>
      </c>
      <c r="D32" s="113">
        <f>IF($B32="","",COUNTIFS(MasterList[Discipline],"&lt;&gt;Electrical",MasterList[Discipline],"&lt;&gt;Instrumentation",MasterList[Discipline],"&lt;&gt;E&amp;I",MasterList[N/A Category],$B32))</f>
        <v/>
      </c>
      <c r="E32" s="115">
        <f>IFERROR(INDEX(Categories[Action By],_xlfn.AGGREGATE(15,6,(ROW(Categories[Action By])-ROW(Categories[#Headers]))/(Categories[Section]="N/A"),1))&amp;"","")</f>
        <v/>
      </c>
      <c r="F32" s="115">
        <f>IFERROR(INDEX(Categories[Email Action],_xlfn.AGGREGATE(15,6,(ROW(Categories[Email Action])-ROW(Categories[#Headers]))/(Categories[Section]="N/A"),1))&amp;"","")</f>
        <v/>
      </c>
      <c r="G32" s="115">
        <f>IFERROR(INDEX(Categories[EnerMech Recommendation],_xlfn.AGGREGATE(15,6,(ROW(Categories[EnerMech Recommendation])-ROW(Categories[#Headers]))/(Categories[Section]="N/A"),1))&amp;"","")</f>
        <v/>
      </c>
      <c r="H32" s="116">
        <f>IFERROR(INDEX(Categories[Note],_xlfn.AGGREGATE(15,6,(ROW(Categories[Note])-ROW(Categories[#Headers]))/(Categories[Section]="N/A"),1))&amp;"","")</f>
        <v/>
      </c>
    </row>
    <row r="33">
      <c r="B33" s="130">
        <f>IFERROR(INDEX(Categories[Code],_xlfn.AGGREGATE(15,6,(ROW(Categories[Code])-ROW(Categories[#Headers]))/(Categories[Section]="N/A"),2))&amp;"","")</f>
        <v/>
      </c>
      <c r="C33" s="115">
        <f>IFERROR(INDEX(Categories[Description],_xlfn.AGGREGATE(15,6,(ROW(Categories[Description])-ROW(Categories[#Headers]))/(Categories[Section]="N/A"),2))&amp;"","")</f>
        <v/>
      </c>
      <c r="D33" s="113">
        <f>IF($B33="","",COUNTIFS(MasterList[Discipline],"&lt;&gt;Electrical",MasterList[Discipline],"&lt;&gt;Instrumentation",MasterList[Discipline],"&lt;&gt;E&amp;I",MasterList[N/A Category],$B33))</f>
        <v/>
      </c>
      <c r="E33" s="115">
        <f>IFERROR(INDEX(Categories[Action By],_xlfn.AGGREGATE(15,6,(ROW(Categories[Action By])-ROW(Categories[#Headers]))/(Categories[Section]="N/A"),2))&amp;"","")</f>
        <v/>
      </c>
      <c r="F33" s="115">
        <f>IFERROR(INDEX(Categories[Email Action],_xlfn.AGGREGATE(15,6,(ROW(Categories[Email Action])-ROW(Categories[#Headers]))/(Categories[Section]="N/A"),2))&amp;"","")</f>
        <v/>
      </c>
      <c r="G33" s="115">
        <f>IFERROR(INDEX(Categories[EnerMech Recommendation],_xlfn.AGGREGATE(15,6,(ROW(Categories[EnerMech Recommendation])-ROW(Categories[#Headers]))/(Categories[Section]="N/A"),2))&amp;"","")</f>
        <v/>
      </c>
      <c r="H33" s="116">
        <f>IFERROR(INDEX(Categories[Note],_xlfn.AGGREGATE(15,6,(ROW(Categories[Note])-ROW(Categories[#Headers]))/(Categories[Section]="N/A"),2))&amp;"","")</f>
        <v/>
      </c>
    </row>
    <row r="34" hidden="1">
      <c r="B34" s="130">
        <f>IFERROR(INDEX(Categories[Code],_xlfn.AGGREGATE(15,6,(ROW(Categories[Code])-ROW(Categories[#Headers]))/(Categories[Section]="N/A"),3))&amp;"","")</f>
        <v/>
      </c>
      <c r="C34" s="115">
        <f>IFERROR(INDEX(Categories[Description],_xlfn.AGGREGATE(15,6,(ROW(Categories[Description])-ROW(Categories[#Headers]))/(Categories[Section]="N/A"),3))&amp;"","")</f>
        <v/>
      </c>
      <c r="D34" s="113">
        <f>IF($B34="","",COUNTIFS(MasterList[Discipline],"&lt;&gt;Electrical",MasterList[Discipline],"&lt;&gt;Instrumentation",MasterList[Discipline],"&lt;&gt;E&amp;I",MasterList[N/A Category],$B34))</f>
        <v/>
      </c>
      <c r="E34" s="115">
        <f>IFERROR(INDEX(Categories[Action By],_xlfn.AGGREGATE(15,6,(ROW(Categories[Action By])-ROW(Categories[#Headers]))/(Categories[Section]="N/A"),3))&amp;"","")</f>
        <v/>
      </c>
      <c r="F34" s="115">
        <f>IFERROR(INDEX(Categories[Email Action],_xlfn.AGGREGATE(15,6,(ROW(Categories[Email Action])-ROW(Categories[#Headers]))/(Categories[Section]="N/A"),3))&amp;"","")</f>
        <v/>
      </c>
      <c r="G34" s="115">
        <f>IFERROR(INDEX(Categories[EnerMech Recommendation],_xlfn.AGGREGATE(15,6,(ROW(Categories[EnerMech Recommendation])-ROW(Categories[#Headers]))/(Categories[Section]="N/A"),3))&amp;"","")</f>
        <v/>
      </c>
      <c r="H34" s="116">
        <f>IFERROR(INDEX(Categories[Note],_xlfn.AGGREGATE(15,6,(ROW(Categories[Note])-ROW(Categories[#Headers]))/(Categories[Section]="N/A"),3))&amp;"","")</f>
        <v/>
      </c>
    </row>
    <row r="35" hidden="1">
      <c r="B35" s="130">
        <f>IFERROR(INDEX(Categories[Code],_xlfn.AGGREGATE(15,6,(ROW(Categories[Code])-ROW(Categories[#Headers]))/(Categories[Section]="N/A"),4))&amp;"","")</f>
        <v/>
      </c>
      <c r="C35" s="115">
        <f>IFERROR(INDEX(Categories[Description],_xlfn.AGGREGATE(15,6,(ROW(Categories[Description])-ROW(Categories[#Headers]))/(Categories[Section]="N/A"),4))&amp;"","")</f>
        <v/>
      </c>
      <c r="D35" s="113">
        <f>IF($B35="","",COUNTIFS(MasterList[Discipline],"&lt;&gt;Electrical",MasterList[Discipline],"&lt;&gt;Instrumentation",MasterList[Discipline],"&lt;&gt;E&amp;I",MasterList[N/A Category],$B35))</f>
        <v/>
      </c>
      <c r="E35" s="115">
        <f>IFERROR(INDEX(Categories[Action By],_xlfn.AGGREGATE(15,6,(ROW(Categories[Action By])-ROW(Categories[#Headers]))/(Categories[Section]="N/A"),4))&amp;"","")</f>
        <v/>
      </c>
      <c r="F35" s="115">
        <f>IFERROR(INDEX(Categories[Email Action],_xlfn.AGGREGATE(15,6,(ROW(Categories[Email Action])-ROW(Categories[#Headers]))/(Categories[Section]="N/A"),4))&amp;"","")</f>
        <v/>
      </c>
      <c r="G35" s="115">
        <f>IFERROR(INDEX(Categories[EnerMech Recommendation],_xlfn.AGGREGATE(15,6,(ROW(Categories[EnerMech Recommendation])-ROW(Categories[#Headers]))/(Categories[Section]="N/A"),4))&amp;"","")</f>
        <v/>
      </c>
      <c r="H35" s="116">
        <f>IFERROR(INDEX(Categories[Note],_xlfn.AGGREGATE(15,6,(ROW(Categories[Note])-ROW(Categories[#Headers]))/(Categories[Section]="N/A"),4))&amp;"","")</f>
        <v/>
      </c>
    </row>
    <row r="36" hidden="1">
      <c r="B36" s="130">
        <f>IFERROR(INDEX(Categories[Code],_xlfn.AGGREGATE(15,6,(ROW(Categories[Code])-ROW(Categories[#Headers]))/(Categories[Section]="N/A"),5))&amp;"","")</f>
        <v/>
      </c>
      <c r="C36" s="115">
        <f>IFERROR(INDEX(Categories[Description],_xlfn.AGGREGATE(15,6,(ROW(Categories[Description])-ROW(Categories[#Headers]))/(Categories[Section]="N/A"),5))&amp;"","")</f>
        <v/>
      </c>
      <c r="D36" s="113">
        <f>IF($B36="","",COUNTIFS(MasterList[Discipline],"&lt;&gt;Electrical",MasterList[Discipline],"&lt;&gt;Instrumentation",MasterList[Discipline],"&lt;&gt;E&amp;I",MasterList[N/A Category],$B36))</f>
        <v/>
      </c>
      <c r="E36" s="115">
        <f>IFERROR(INDEX(Categories[Action By],_xlfn.AGGREGATE(15,6,(ROW(Categories[Action By])-ROW(Categories[#Headers]))/(Categories[Section]="N/A"),5))&amp;"","")</f>
        <v/>
      </c>
      <c r="F36" s="115">
        <f>IFERROR(INDEX(Categories[Email Action],_xlfn.AGGREGATE(15,6,(ROW(Categories[Email Action])-ROW(Categories[#Headers]))/(Categories[Section]="N/A"),5))&amp;"","")</f>
        <v/>
      </c>
      <c r="G36" s="115">
        <f>IFERROR(INDEX(Categories[EnerMech Recommendation],_xlfn.AGGREGATE(15,6,(ROW(Categories[EnerMech Recommendation])-ROW(Categories[#Headers]))/(Categories[Section]="N/A"),5))&amp;"","")</f>
        <v/>
      </c>
      <c r="H36" s="116">
        <f>IFERROR(INDEX(Categories[Note],_xlfn.AGGREGATE(15,6,(ROW(Categories[Note])-ROW(Categories[#Headers]))/(Categories[Section]="N/A"),5))&amp;"","")</f>
        <v/>
      </c>
    </row>
    <row r="37" hidden="1">
      <c r="B37" s="130">
        <f>IFERROR(INDEX(Categories[Code],_xlfn.AGGREGATE(15,6,(ROW(Categories[Code])-ROW(Categories[#Headers]))/(Categories[Section]="N/A"),6))&amp;"","")</f>
        <v/>
      </c>
      <c r="C37" s="115">
        <f>IFERROR(INDEX(Categories[Description],_xlfn.AGGREGATE(15,6,(ROW(Categories[Description])-ROW(Categories[#Headers]))/(Categories[Section]="N/A"),6))&amp;"","")</f>
        <v/>
      </c>
      <c r="D37" s="113">
        <f>IF($B37="","",COUNTIFS(MasterList[Discipline],"&lt;&gt;Electrical",MasterList[Discipline],"&lt;&gt;Instrumentation",MasterList[Discipline],"&lt;&gt;E&amp;I",MasterList[N/A Category],$B37))</f>
        <v/>
      </c>
      <c r="E37" s="115">
        <f>IFERROR(INDEX(Categories[Action By],_xlfn.AGGREGATE(15,6,(ROW(Categories[Action By])-ROW(Categories[#Headers]))/(Categories[Section]="N/A"),6))&amp;"","")</f>
        <v/>
      </c>
      <c r="F37" s="115">
        <f>IFERROR(INDEX(Categories[Email Action],_xlfn.AGGREGATE(15,6,(ROW(Categories[Email Action])-ROW(Categories[#Headers]))/(Categories[Section]="N/A"),6))&amp;"","")</f>
        <v/>
      </c>
      <c r="G37" s="115">
        <f>IFERROR(INDEX(Categories[EnerMech Recommendation],_xlfn.AGGREGATE(15,6,(ROW(Categories[EnerMech Recommendation])-ROW(Categories[#Headers]))/(Categories[Section]="N/A"),6))&amp;"","")</f>
        <v/>
      </c>
      <c r="H37" s="116">
        <f>IFERROR(INDEX(Categories[Note],_xlfn.AGGREGATE(15,6,(ROW(Categories[Note])-ROW(Categories[#Headers]))/(Categories[Section]="N/A"),6))&amp;"","")</f>
        <v/>
      </c>
    </row>
    <row r="38" hidden="1">
      <c r="B38" s="130">
        <f>IFERROR(INDEX(Categories[Code],_xlfn.AGGREGATE(15,6,(ROW(Categories[Code])-ROW(Categories[#Headers]))/(Categories[Section]="N/A"),7))&amp;"","")</f>
        <v/>
      </c>
      <c r="C38" s="115">
        <f>IFERROR(INDEX(Categories[Description],_xlfn.AGGREGATE(15,6,(ROW(Categories[Description])-ROW(Categories[#Headers]))/(Categories[Section]="N/A"),7))&amp;"","")</f>
        <v/>
      </c>
      <c r="D38" s="113">
        <f>IF($B38="","",COUNTIFS(MasterList[Discipline],"&lt;&gt;Electrical",MasterList[Discipline],"&lt;&gt;Instrumentation",MasterList[Discipline],"&lt;&gt;E&amp;I",MasterList[N/A Category],$B38))</f>
        <v/>
      </c>
      <c r="E38" s="115">
        <f>IFERROR(INDEX(Categories[Action By],_xlfn.AGGREGATE(15,6,(ROW(Categories[Action By])-ROW(Categories[#Headers]))/(Categories[Section]="N/A"),7))&amp;"","")</f>
        <v/>
      </c>
      <c r="F38" s="115">
        <f>IFERROR(INDEX(Categories[Email Action],_xlfn.AGGREGATE(15,6,(ROW(Categories[Email Action])-ROW(Categories[#Headers]))/(Categories[Section]="N/A"),7))&amp;"","")</f>
        <v/>
      </c>
      <c r="G38" s="115">
        <f>IFERROR(INDEX(Categories[EnerMech Recommendation],_xlfn.AGGREGATE(15,6,(ROW(Categories[EnerMech Recommendation])-ROW(Categories[#Headers]))/(Categories[Section]="N/A"),7))&amp;"","")</f>
        <v/>
      </c>
      <c r="H38" s="116">
        <f>IFERROR(INDEX(Categories[Note],_xlfn.AGGREGATE(15,6,(ROW(Categories[Note])-ROW(Categories[#Headers]))/(Categories[Section]="N/A"),7))&amp;"","")</f>
        <v/>
      </c>
    </row>
    <row r="39" hidden="1">
      <c r="B39" s="130">
        <f>IFERROR(INDEX(Categories[Code],_xlfn.AGGREGATE(15,6,(ROW(Categories[Code])-ROW(Categories[#Headers]))/(Categories[Section]="N/A"),8))&amp;"","")</f>
        <v/>
      </c>
      <c r="C39" s="115">
        <f>IFERROR(INDEX(Categories[Description],_xlfn.AGGREGATE(15,6,(ROW(Categories[Description])-ROW(Categories[#Headers]))/(Categories[Section]="N/A"),8))&amp;"","")</f>
        <v/>
      </c>
      <c r="D39" s="113">
        <f>IF($B39="","",COUNTIFS(MasterList[Discipline],"&lt;&gt;Electrical",MasterList[Discipline],"&lt;&gt;Instrumentation",MasterList[Discipline],"&lt;&gt;E&amp;I",MasterList[N/A Category],$B39))</f>
        <v/>
      </c>
      <c r="E39" s="115">
        <f>IFERROR(INDEX(Categories[Action By],_xlfn.AGGREGATE(15,6,(ROW(Categories[Action By])-ROW(Categories[#Headers]))/(Categories[Section]="N/A"),8))&amp;"","")</f>
        <v/>
      </c>
      <c r="F39" s="115">
        <f>IFERROR(INDEX(Categories[Email Action],_xlfn.AGGREGATE(15,6,(ROW(Categories[Email Action])-ROW(Categories[#Headers]))/(Categories[Section]="N/A"),8))&amp;"","")</f>
        <v/>
      </c>
      <c r="G39" s="115">
        <f>IFERROR(INDEX(Categories[EnerMech Recommendation],_xlfn.AGGREGATE(15,6,(ROW(Categories[EnerMech Recommendation])-ROW(Categories[#Headers]))/(Categories[Section]="N/A"),8))&amp;"","")</f>
        <v/>
      </c>
      <c r="H39" s="116">
        <f>IFERROR(INDEX(Categories[Note],_xlfn.AGGREGATE(15,6,(ROW(Categories[Note])-ROW(Categories[#Headers]))/(Categories[Section]="N/A"),8))&amp;"","")</f>
        <v/>
      </c>
    </row>
    <row r="40" hidden="1">
      <c r="B40" s="130">
        <f>IFERROR(INDEX(Categories[Code],_xlfn.AGGREGATE(15,6,(ROW(Categories[Code])-ROW(Categories[#Headers]))/(Categories[Section]="N/A"),9))&amp;"","")</f>
        <v/>
      </c>
      <c r="C40" s="115">
        <f>IFERROR(INDEX(Categories[Description],_xlfn.AGGREGATE(15,6,(ROW(Categories[Description])-ROW(Categories[#Headers]))/(Categories[Section]="N/A"),9))&amp;"","")</f>
        <v/>
      </c>
      <c r="D40" s="113">
        <f>IF($B40="","",COUNTIFS(MasterList[Discipline],"&lt;&gt;Electrical",MasterList[Discipline],"&lt;&gt;Instrumentation",MasterList[Discipline],"&lt;&gt;E&amp;I",MasterList[N/A Category],$B40))</f>
        <v/>
      </c>
      <c r="E40" s="115">
        <f>IFERROR(INDEX(Categories[Action By],_xlfn.AGGREGATE(15,6,(ROW(Categories[Action By])-ROW(Categories[#Headers]))/(Categories[Section]="N/A"),9))&amp;"","")</f>
        <v/>
      </c>
      <c r="F40" s="115">
        <f>IFERROR(INDEX(Categories[Email Action],_xlfn.AGGREGATE(15,6,(ROW(Categories[Email Action])-ROW(Categories[#Headers]))/(Categories[Section]="N/A"),9))&amp;"","")</f>
        <v/>
      </c>
      <c r="G40" s="115">
        <f>IFERROR(INDEX(Categories[EnerMech Recommendation],_xlfn.AGGREGATE(15,6,(ROW(Categories[EnerMech Recommendation])-ROW(Categories[#Headers]))/(Categories[Section]="N/A"),9))&amp;"","")</f>
        <v/>
      </c>
      <c r="H40" s="116">
        <f>IFERROR(INDEX(Categories[Note],_xlfn.AGGREGATE(15,6,(ROW(Categories[Note])-ROW(Categories[#Headers]))/(Categories[Section]="N/A"),9))&amp;"","")</f>
        <v/>
      </c>
    </row>
    <row r="41" hidden="1">
      <c r="B41" s="130">
        <f>IFERROR(INDEX(Categories[Code],_xlfn.AGGREGATE(15,6,(ROW(Categories[Code])-ROW(Categories[#Headers]))/(Categories[Section]="N/A"),10))&amp;"","")</f>
        <v/>
      </c>
      <c r="C41" s="115">
        <f>IFERROR(INDEX(Categories[Description],_xlfn.AGGREGATE(15,6,(ROW(Categories[Description])-ROW(Categories[#Headers]))/(Categories[Section]="N/A"),10))&amp;"","")</f>
        <v/>
      </c>
      <c r="D41" s="113">
        <f>IF($B41="","",COUNTIFS(MasterList[Discipline],"&lt;&gt;Electrical",MasterList[Discipline],"&lt;&gt;Instrumentation",MasterList[Discipline],"&lt;&gt;E&amp;I",MasterList[N/A Category],$B41))</f>
        <v/>
      </c>
      <c r="E41" s="115">
        <f>IFERROR(INDEX(Categories[Action By],_xlfn.AGGREGATE(15,6,(ROW(Categories[Action By])-ROW(Categories[#Headers]))/(Categories[Section]="N/A"),10))&amp;"","")</f>
        <v/>
      </c>
      <c r="F41" s="115">
        <f>IFERROR(INDEX(Categories[Email Action],_xlfn.AGGREGATE(15,6,(ROW(Categories[Email Action])-ROW(Categories[#Headers]))/(Categories[Section]="N/A"),10))&amp;"","")</f>
        <v/>
      </c>
      <c r="G41" s="115">
        <f>IFERROR(INDEX(Categories[EnerMech Recommendation],_xlfn.AGGREGATE(15,6,(ROW(Categories[EnerMech Recommendation])-ROW(Categories[#Headers]))/(Categories[Section]="N/A"),10))&amp;"","")</f>
        <v/>
      </c>
      <c r="H41" s="116">
        <f>IFERROR(INDEX(Categories[Note],_xlfn.AGGREGATE(15,6,(ROW(Categories[Note])-ROW(Categories[#Headers]))/(Categories[Section]="N/A"),10))&amp;"","")</f>
        <v/>
      </c>
    </row>
    <row r="42">
      <c r="B42" s="131" t="inlineStr">
        <is>
          <t>Total -2</t>
        </is>
      </c>
      <c r="C42" s="132" t="n"/>
      <c r="D42" s="133">
        <f>SUM(D32:D41)</f>
        <v/>
      </c>
      <c r="E42" s="134" t="n"/>
      <c r="F42" s="134" t="n"/>
      <c r="G42" s="134" t="n"/>
      <c r="H42" s="135" t="n"/>
    </row>
    <row r="43">
      <c r="B43" s="131" t="inlineStr">
        <is>
          <t xml:space="preserve">Grant Total </t>
        </is>
      </c>
      <c r="C43" s="132" t="n"/>
      <c r="D43" s="133">
        <f>D30+D42</f>
        <v/>
      </c>
      <c r="E43" s="134" t="n"/>
      <c r="F43" s="134" t="n"/>
      <c r="G43" s="134" t="n"/>
      <c r="H43" s="135" t="n"/>
    </row>
    <row r="44">
      <c r="B44" s="141" t="inlineStr">
        <is>
          <t>Total Equipment Tags(Static and Rotating)</t>
        </is>
      </c>
      <c r="C44" s="142" t="n"/>
      <c r="D44" s="143">
        <f>H5</f>
        <v/>
      </c>
      <c r="E44" s="144" t="n"/>
      <c r="F44" s="144" t="n"/>
      <c r="G44" s="144" t="n"/>
      <c r="H44" s="145" t="n"/>
    </row>
    <row r="46">
      <c r="B46" s="146" t="inlineStr">
        <is>
          <t>Highlights</t>
        </is>
      </c>
      <c r="C46" s="147" t="n"/>
      <c r="D46" s="147" t="n"/>
      <c r="E46" s="147" t="n"/>
      <c r="F46" s="147" t="n"/>
      <c r="G46" s="147" t="n"/>
      <c r="H46" s="148" t="n"/>
    </row>
    <row r="47" ht="78" customHeight="1">
      <c r="B47" s="149" t="inlineStr">
        <is>
          <t>Available for Preservation</t>
        </is>
      </c>
      <c r="C47" s="150" t="n"/>
      <c r="D47" s="151">
        <f>D44-D43</f>
        <v/>
      </c>
      <c r="E47" s="150" t="n"/>
      <c r="F47" s="150">
        <f>($D$47-COUNTIFS(MasterList[Discipline],"&lt;&gt;Electrical",MasterList[Discipline],"&lt;&gt;Instrumentation",MasterList[Discipline],"&lt;&gt;E&amp;I",MasterList[Ready For Preservation],"Yes"))&amp;" Equipment already preserved need to be de-preserved and inspect for sludge &amp; "&amp;COUNTIFS(MasterList[Discipline],"&lt;&gt;Electrical",MasterList[Discipline],"&lt;&gt;Instrumentation",MasterList[Discipline],"&lt;&gt;E&amp;I",MasterList[Ready For Preservation],"Yes")&amp;" Equipments are ready for preservation"</f>
        <v/>
      </c>
      <c r="G47" s="150" t="inlineStr">
        <is>
          <t>Recommendation: Blind &amp; do N2 blanket to maintain positive pressure.</t>
        </is>
      </c>
      <c r="H47" s="152" t="n"/>
    </row>
    <row r="48" ht="62" customHeight="1">
      <c r="B48" s="153" t="inlineStr">
        <is>
          <t>Piping Circuits</t>
        </is>
      </c>
      <c r="C48" s="154" t="n"/>
      <c r="D48" s="155" t="n">
        <v>4</v>
      </c>
      <c r="E48" s="154" t="inlineStr">
        <is>
          <t>EnerMech</t>
        </is>
      </c>
      <c r="F48" s="154" t="inlineStr">
        <is>
          <t>-</t>
        </is>
      </c>
      <c r="G48" s="154" t="inlineStr">
        <is>
          <t>31 lines identified for cleaning among 4 circuits. These lines shall be temporarly kept under nitrogen blanket after cleaning to avoid rapid rusting.</t>
        </is>
      </c>
      <c r="H48" s="156" t="n"/>
    </row>
    <row r="50">
      <c r="C50" s="157" t="inlineStr">
        <is>
          <t xml:space="preserve">Piping preservation/cleaning strategy: </t>
        </is>
      </c>
    </row>
    <row r="51">
      <c r="C51" s="158" t="inlineStr">
        <is>
          <t>1. Piping lines will be tracked based on process fluid code under DNV categorized circuits.</t>
        </is>
      </c>
    </row>
    <row r="52">
      <c r="C52" s="158" t="inlineStr">
        <is>
          <t>2. We recommend not to link piping to its connected equipment as it will create reporting/summarizing issues [Reason: each pipe will connect to at least two or more equipment other than drain/vent lines]</t>
        </is>
      </c>
    </row>
    <row r="53">
      <c r="C53" s="158" t="inlineStr">
        <is>
          <t>3. EnerMech identified 31 out of 136 lines which needs cleaning. These lines shall be temporarly kept under nitrogen blanket after cleaning to avoid rapid rusting.</t>
        </is>
      </c>
    </row>
    <row r="56">
      <c r="C56" s="159" t="inlineStr">
        <is>
          <t>Assets available for preservation</t>
        </is>
      </c>
      <c r="D56" s="159" t="inlineStr">
        <is>
          <t>Response</t>
        </is>
      </c>
    </row>
    <row r="57">
      <c r="C57" s="160">
        <f>IFERROR(INDEX(MasterList[EQUIP NO],_xlfn.AGGREGATE(15,6,(ROW(MasterList[EQUIP NO])-ROW(MasterList[#Headers]))/(MasterList[Ready For Preservation]="Yes"),1))&amp;"","")</f>
        <v/>
      </c>
      <c r="D57" s="160">
        <f>IFERROR(INDEX(MasterList[Response],_xlfn.AGGREGATE(15,6,(ROW(MasterList[Response])-ROW(MasterList[#Headers]))/(MasterList[Ready For Preservation]="Yes"),1))&amp;"","")</f>
        <v/>
      </c>
    </row>
    <row r="58">
      <c r="C58" s="160">
        <f>IFERROR(INDEX(MasterList[EQUIP NO],_xlfn.AGGREGATE(15,6,(ROW(MasterList[EQUIP NO])-ROW(MasterList[#Headers]))/(MasterList[Ready For Preservation]="Yes"),2))&amp;"","")</f>
        <v/>
      </c>
      <c r="D58" s="160">
        <f>IFERROR(INDEX(MasterList[Response],_xlfn.AGGREGATE(15,6,(ROW(MasterList[Response])-ROW(MasterList[#Headers]))/(MasterList[Ready For Preservation]="Yes"),2))&amp;"","")</f>
        <v/>
      </c>
    </row>
    <row r="59">
      <c r="C59" s="160">
        <f>IFERROR(INDEX(MasterList[EQUIP NO],_xlfn.AGGREGATE(15,6,(ROW(MasterList[EQUIP NO])-ROW(MasterList[#Headers]))/(MasterList[Ready For Preservation]="Yes"),3))&amp;"","")</f>
        <v/>
      </c>
      <c r="D59" s="160">
        <f>IFERROR(INDEX(MasterList[Response],_xlfn.AGGREGATE(15,6,(ROW(MasterList[Response])-ROW(MasterList[#Headers]))/(MasterList[Ready For Preservation]="Yes"),3))&amp;"","")</f>
        <v/>
      </c>
    </row>
    <row r="60">
      <c r="C60" s="160">
        <f>IFERROR(INDEX(MasterList[EQUIP NO],_xlfn.AGGREGATE(15,6,(ROW(MasterList[EQUIP NO])-ROW(MasterList[#Headers]))/(MasterList[Ready For Preservation]="Yes"),4))&amp;"","")</f>
        <v/>
      </c>
      <c r="D60" s="160">
        <f>IFERROR(INDEX(MasterList[Response],_xlfn.AGGREGATE(15,6,(ROW(MasterList[Response])-ROW(MasterList[#Headers]))/(MasterList[Ready For Preservation]="Yes"),4))&amp;"","")</f>
        <v/>
      </c>
    </row>
    <row r="61">
      <c r="C61" s="160">
        <f>IFERROR(INDEX(MasterList[EQUIP NO],_xlfn.AGGREGATE(15,6,(ROW(MasterList[EQUIP NO])-ROW(MasterList[#Headers]))/(MasterList[Ready For Preservation]="Yes"),5))&amp;"","")</f>
        <v/>
      </c>
      <c r="D61" s="160">
        <f>IFERROR(INDEX(MasterList[Response],_xlfn.AGGREGATE(15,6,(ROW(MasterList[Response])-ROW(MasterList[#Headers]))/(MasterList[Ready For Preservation]="Yes"),5))&amp;"","")</f>
        <v/>
      </c>
    </row>
    <row r="62">
      <c r="C62" s="160">
        <f>IFERROR(INDEX(MasterList[EQUIP NO],_xlfn.AGGREGATE(15,6,(ROW(MasterList[EQUIP NO])-ROW(MasterList[#Headers]))/(MasterList[Ready For Preservation]="Yes"),6))&amp;"","")</f>
        <v/>
      </c>
      <c r="D62" s="160">
        <f>IFERROR(INDEX(MasterList[Response],_xlfn.AGGREGATE(15,6,(ROW(MasterList[Response])-ROW(MasterList[#Headers]))/(MasterList[Ready For Preservation]="Yes"),6))&amp;"","")</f>
        <v/>
      </c>
    </row>
    <row r="63">
      <c r="C63" s="160">
        <f>IFERROR(INDEX(MasterList[EQUIP NO],_xlfn.AGGREGATE(15,6,(ROW(MasterList[EQUIP NO])-ROW(MasterList[#Headers]))/(MasterList[Ready For Preservation]="Yes"),7))&amp;"","")</f>
        <v/>
      </c>
      <c r="D63" s="160">
        <f>IFERROR(INDEX(MasterList[Response],_xlfn.AGGREGATE(15,6,(ROW(MasterList[Response])-ROW(MasterList[#Headers]))/(MasterList[Ready For Preservation]="Yes"),7))&amp;"","")</f>
        <v/>
      </c>
    </row>
    <row r="64">
      <c r="C64" s="160">
        <f>IFERROR(INDEX(MasterList[EQUIP NO],_xlfn.AGGREGATE(15,6,(ROW(MasterList[EQUIP NO])-ROW(MasterList[#Headers]))/(MasterList[Ready For Preservation]="Yes"),8))&amp;"","")</f>
        <v/>
      </c>
      <c r="D64" s="160">
        <f>IFERROR(INDEX(MasterList[Response],_xlfn.AGGREGATE(15,6,(ROW(MasterList[Response])-ROW(MasterList[#Headers]))/(MasterList[Ready For Preservation]="Yes"),8))&amp;"","")</f>
        <v/>
      </c>
    </row>
    <row r="65">
      <c r="C65" s="160">
        <f>IFERROR(INDEX(MasterList[EQUIP NO],_xlfn.AGGREGATE(15,6,(ROW(MasterList[EQUIP NO])-ROW(MasterList[#Headers]))/(MasterList[Ready For Preservation]="Yes"),9))&amp;"","")</f>
        <v/>
      </c>
      <c r="D65" s="160">
        <f>IFERROR(INDEX(MasterList[Response],_xlfn.AGGREGATE(15,6,(ROW(MasterList[Response])-ROW(MasterList[#Headers]))/(MasterList[Ready For Preservation]="Yes"),9))&amp;"","")</f>
        <v/>
      </c>
    </row>
    <row r="66">
      <c r="C66" s="160">
        <f>IFERROR(INDEX(MasterList[EQUIP NO],_xlfn.AGGREGATE(15,6,(ROW(MasterList[EQUIP NO])-ROW(MasterList[#Headers]))/(MasterList[Ready For Preservation]="Yes"),10))&amp;"","")</f>
        <v/>
      </c>
      <c r="D66" s="160">
        <f>IFERROR(INDEX(MasterList[Response],_xlfn.AGGREGATE(15,6,(ROW(MasterList[Response])-ROW(MasterList[#Headers]))/(MasterList[Ready For Preservation]="Yes"),10))&amp;"","")</f>
        <v/>
      </c>
    </row>
    <row r="67">
      <c r="C67" s="160">
        <f>IFERROR(INDEX(MasterList[EQUIP NO],_xlfn.AGGREGATE(15,6,(ROW(MasterList[EQUIP NO])-ROW(MasterList[#Headers]))/(MasterList[Ready For Preservation]="Yes"),11))&amp;"","")</f>
        <v/>
      </c>
      <c r="D67" s="160">
        <f>IFERROR(INDEX(MasterList[Response],_xlfn.AGGREGATE(15,6,(ROW(MasterList[Response])-ROW(MasterList[#Headers]))/(MasterList[Ready For Preservation]="Yes"),11))&amp;"","")</f>
        <v/>
      </c>
    </row>
    <row r="68">
      <c r="C68" s="160">
        <f>IFERROR(INDEX(MasterList[EQUIP NO],_xlfn.AGGREGATE(15,6,(ROW(MasterList[EQUIP NO])-ROW(MasterList[#Headers]))/(MasterList[Ready For Preservation]="Yes"),12))&amp;"","")</f>
        <v/>
      </c>
      <c r="D68" s="160">
        <f>IFERROR(INDEX(MasterList[Response],_xlfn.AGGREGATE(15,6,(ROW(MasterList[Response])-ROW(MasterList[#Headers]))/(MasterList[Ready For Preservation]="Yes"),12))&amp;"","")</f>
        <v/>
      </c>
    </row>
    <row r="69">
      <c r="C69" s="160">
        <f>IFERROR(INDEX(MasterList[EQUIP NO],_xlfn.AGGREGATE(15,6,(ROW(MasterList[EQUIP NO])-ROW(MasterList[#Headers]))/(MasterList[Ready For Preservation]="Yes"),13))&amp;"","")</f>
        <v/>
      </c>
      <c r="D69" s="160">
        <f>IFERROR(INDEX(MasterList[Response],_xlfn.AGGREGATE(15,6,(ROW(MasterList[Response])-ROW(MasterList[#Headers]))/(MasterList[Ready For Preservation]="Yes"),13))&amp;"","")</f>
        <v/>
      </c>
    </row>
    <row r="70">
      <c r="C70" s="160">
        <f>IFERROR(INDEX(MasterList[EQUIP NO],_xlfn.AGGREGATE(15,6,(ROW(MasterList[EQUIP NO])-ROW(MasterList[#Headers]))/(MasterList[Ready For Preservation]="Yes"),14))&amp;"","")</f>
        <v/>
      </c>
      <c r="D70" s="160">
        <f>IFERROR(INDEX(MasterList[Response],_xlfn.AGGREGATE(15,6,(ROW(MasterList[Response])-ROW(MasterList[#Headers]))/(MasterList[Ready For Preservation]="Yes"),14))&amp;"","")</f>
        <v/>
      </c>
    </row>
    <row r="71">
      <c r="C71" s="160">
        <f>IFERROR(INDEX(MasterList[EQUIP NO],_xlfn.AGGREGATE(15,6,(ROW(MasterList[EQUIP NO])-ROW(MasterList[#Headers]))/(MasterList[Ready For Preservation]="Yes"),15))&amp;"","")</f>
        <v/>
      </c>
      <c r="D71" s="160">
        <f>IFERROR(INDEX(MasterList[Response],_xlfn.AGGREGATE(15,6,(ROW(MasterList[Response])-ROW(MasterList[#Headers]))/(MasterList[Ready For Preservation]="Yes"),15))&amp;"","")</f>
        <v/>
      </c>
    </row>
    <row r="72">
      <c r="C72" s="160">
        <f>IFERROR(INDEX(MasterList[EQUIP NO],_xlfn.AGGREGATE(15,6,(ROW(MasterList[EQUIP NO])-ROW(MasterList[#Headers]))/(MasterList[Ready For Preservation]="Yes"),16))&amp;"","")</f>
        <v/>
      </c>
      <c r="D72" s="160">
        <f>IFERROR(INDEX(MasterList[Response],_xlfn.AGGREGATE(15,6,(ROW(MasterList[Response])-ROW(MasterList[#Headers]))/(MasterList[Ready For Preservation]="Yes"),16))&amp;"","")</f>
        <v/>
      </c>
    </row>
    <row r="73">
      <c r="C73" s="160">
        <f>IFERROR(INDEX(MasterList[EQUIP NO],_xlfn.AGGREGATE(15,6,(ROW(MasterList[EQUIP NO])-ROW(MasterList[#Headers]))/(MasterList[Ready For Preservation]="Yes"),17))&amp;"","")</f>
        <v/>
      </c>
      <c r="D73" s="160">
        <f>IFERROR(INDEX(MasterList[Response],_xlfn.AGGREGATE(15,6,(ROW(MasterList[Response])-ROW(MasterList[#Headers]))/(MasterList[Ready For Preservation]="Yes"),17))&amp;"","")</f>
        <v/>
      </c>
    </row>
    <row r="74">
      <c r="C74" s="160">
        <f>IFERROR(INDEX(MasterList[EQUIP NO],_xlfn.AGGREGATE(15,6,(ROW(MasterList[EQUIP NO])-ROW(MasterList[#Headers]))/(MasterList[Ready For Preservation]="Yes"),18))&amp;"","")</f>
        <v/>
      </c>
      <c r="D74" s="160">
        <f>IFERROR(INDEX(MasterList[Response],_xlfn.AGGREGATE(15,6,(ROW(MasterList[Response])-ROW(MasterList[#Headers]))/(MasterList[Ready For Preservation]="Yes"),18))&amp;"","")</f>
        <v/>
      </c>
    </row>
    <row r="75">
      <c r="C75" s="160">
        <f>IFERROR(INDEX(MasterList[EQUIP NO],_xlfn.AGGREGATE(15,6,(ROW(MasterList[EQUIP NO])-ROW(MasterList[#Headers]))/(MasterList[Ready For Preservation]="Yes"),19))&amp;"","")</f>
        <v/>
      </c>
      <c r="D75" s="160">
        <f>IFERROR(INDEX(MasterList[Response],_xlfn.AGGREGATE(15,6,(ROW(MasterList[Response])-ROW(MasterList[#Headers]))/(MasterList[Ready For Preservation]="Yes"),19))&amp;"","")</f>
        <v/>
      </c>
    </row>
    <row r="76">
      <c r="C76" s="160">
        <f>IFERROR(INDEX(MasterList[EQUIP NO],_xlfn.AGGREGATE(15,6,(ROW(MasterList[EQUIP NO])-ROW(MasterList[#Headers]))/(MasterList[Ready For Preservation]="Yes"),20))&amp;"","")</f>
        <v/>
      </c>
      <c r="D76" s="160">
        <f>IFERROR(INDEX(MasterList[Response],_xlfn.AGGREGATE(15,6,(ROW(MasterList[Response])-ROW(MasterList[#Headers]))/(MasterList[Ready For Preservation]="Yes"),20))&amp;"","")</f>
        <v/>
      </c>
    </row>
    <row r="77">
      <c r="C77" s="160">
        <f>IFERROR(INDEX(MasterList[EQUIP NO],_xlfn.AGGREGATE(15,6,(ROW(MasterList[EQUIP NO])-ROW(MasterList[#Headers]))/(MasterList[Ready For Preservation]="Yes"),21))&amp;"","")</f>
        <v/>
      </c>
      <c r="D77" s="160">
        <f>IFERROR(INDEX(MasterList[Response],_xlfn.AGGREGATE(15,6,(ROW(MasterList[Response])-ROW(MasterList[#Headers]))/(MasterList[Ready For Preservation]="Yes"),21))&amp;"","")</f>
        <v/>
      </c>
    </row>
    <row r="78">
      <c r="C78" s="160">
        <f>IFERROR(INDEX(MasterList[EQUIP NO],_xlfn.AGGREGATE(15,6,(ROW(MasterList[EQUIP NO])-ROW(MasterList[#Headers]))/(MasterList[Ready For Preservation]="Yes"),22))&amp;"","")</f>
        <v/>
      </c>
      <c r="D78" s="160">
        <f>IFERROR(INDEX(MasterList[Response],_xlfn.AGGREGATE(15,6,(ROW(MasterList[Response])-ROW(MasterList[#Headers]))/(MasterList[Ready For Preservation]="Yes"),22))&amp;"","")</f>
        <v/>
      </c>
    </row>
    <row r="79">
      <c r="C79" s="160">
        <f>IFERROR(INDEX(MasterList[EQUIP NO],_xlfn.AGGREGATE(15,6,(ROW(MasterList[EQUIP NO])-ROW(MasterList[#Headers]))/(MasterList[Ready For Preservation]="Yes"),23))&amp;"","")</f>
        <v/>
      </c>
      <c r="D79" s="160">
        <f>IFERROR(INDEX(MasterList[Response],_xlfn.AGGREGATE(15,6,(ROW(MasterList[Response])-ROW(MasterList[#Headers]))/(MasterList[Ready For Preservation]="Yes"),23))&amp;"","")</f>
        <v/>
      </c>
    </row>
    <row r="80">
      <c r="C80" s="160">
        <f>IFERROR(INDEX(MasterList[EQUIP NO],_xlfn.AGGREGATE(15,6,(ROW(MasterList[EQUIP NO])-ROW(MasterList[#Headers]))/(MasterList[Ready For Preservation]="Yes"),24))&amp;"","")</f>
        <v/>
      </c>
      <c r="D80" s="160">
        <f>IFERROR(INDEX(MasterList[Response],_xlfn.AGGREGATE(15,6,(ROW(MasterList[Response])-ROW(MasterList[#Headers]))/(MasterList[Ready For Preservation]="Yes"),24))&amp;"","")</f>
        <v/>
      </c>
    </row>
    <row r="81">
      <c r="C81" s="160">
        <f>IFERROR(INDEX(MasterList[EQUIP NO],_xlfn.AGGREGATE(15,6,(ROW(MasterList[EQUIP NO])-ROW(MasterList[#Headers]))/(MasterList[Ready For Preservation]="Yes"),25))&amp;"","")</f>
        <v/>
      </c>
      <c r="D81" s="160">
        <f>IFERROR(INDEX(MasterList[Response],_xlfn.AGGREGATE(15,6,(ROW(MasterList[Response])-ROW(MasterList[#Headers]))/(MasterList[Ready For Preservation]="Yes"),25))&amp;"","")</f>
        <v/>
      </c>
    </row>
    <row r="82">
      <c r="C82" s="160">
        <f>IFERROR(INDEX(MasterList[EQUIP NO],_xlfn.AGGREGATE(15,6,(ROW(MasterList[EQUIP NO])-ROW(MasterList[#Headers]))/(MasterList[Ready For Preservation]="Yes"),26))&amp;"","")</f>
        <v/>
      </c>
      <c r="D82" s="160">
        <f>IFERROR(INDEX(MasterList[Response],_xlfn.AGGREGATE(15,6,(ROW(MasterList[Response])-ROW(MasterList[#Headers]))/(MasterList[Ready For Preservation]="Yes"),26))&amp;"","")</f>
        <v/>
      </c>
    </row>
    <row r="83">
      <c r="C83" s="160">
        <f>IFERROR(INDEX(MasterList[EQUIP NO],_xlfn.AGGREGATE(15,6,(ROW(MasterList[EQUIP NO])-ROW(MasterList[#Headers]))/(MasterList[Ready For Preservation]="Yes"),27))&amp;"","")</f>
        <v/>
      </c>
      <c r="D83" s="160">
        <f>IFERROR(INDEX(MasterList[Response],_xlfn.AGGREGATE(15,6,(ROW(MasterList[Response])-ROW(MasterList[#Headers]))/(MasterList[Ready For Preservation]="Yes"),27))&amp;"","")</f>
        <v/>
      </c>
    </row>
    <row r="84">
      <c r="C84" s="160">
        <f>IFERROR(INDEX(MasterList[EQUIP NO],_xlfn.AGGREGATE(15,6,(ROW(MasterList[EQUIP NO])-ROW(MasterList[#Headers]))/(MasterList[Ready For Preservation]="Yes"),28))&amp;"","")</f>
        <v/>
      </c>
      <c r="D84" s="160">
        <f>IFERROR(INDEX(MasterList[Response],_xlfn.AGGREGATE(15,6,(ROW(MasterList[Response])-ROW(MasterList[#Headers]))/(MasterList[Ready For Preservation]="Yes"),28))&amp;"","")</f>
        <v/>
      </c>
    </row>
    <row r="85">
      <c r="C85" s="160">
        <f>IFERROR(INDEX(MasterList[EQUIP NO],_xlfn.AGGREGATE(15,6,(ROW(MasterList[EQUIP NO])-ROW(MasterList[#Headers]))/(MasterList[Ready For Preservation]="Yes"),29))&amp;"","")</f>
        <v/>
      </c>
      <c r="D85" s="160">
        <f>IFERROR(INDEX(MasterList[Response],_xlfn.AGGREGATE(15,6,(ROW(MasterList[Response])-ROW(MasterList[#Headers]))/(MasterList[Ready For Preservation]="Yes"),29))&amp;"","")</f>
        <v/>
      </c>
    </row>
    <row r="86">
      <c r="C86" s="160">
        <f>IFERROR(INDEX(MasterList[EQUIP NO],_xlfn.AGGREGATE(15,6,(ROW(MasterList[EQUIP NO])-ROW(MasterList[#Headers]))/(MasterList[Ready For Preservation]="Yes"),30))&amp;"","")</f>
        <v/>
      </c>
      <c r="D86" s="160">
        <f>IFERROR(INDEX(MasterList[Response],_xlfn.AGGREGATE(15,6,(ROW(MasterList[Response])-ROW(MasterList[#Headers]))/(MasterList[Ready For Preservation]="Yes"),30))&amp;"","")</f>
        <v/>
      </c>
    </row>
    <row r="87">
      <c r="C87" s="160">
        <f>IFERROR(INDEX(MasterList[EQUIP NO],_xlfn.AGGREGATE(15,6,(ROW(MasterList[EQUIP NO])-ROW(MasterList[#Headers]))/(MasterList[Ready For Preservation]="Yes"),31))&amp;"","")</f>
        <v/>
      </c>
      <c r="D87" s="160">
        <f>IFERROR(INDEX(MasterList[Response],_xlfn.AGGREGATE(15,6,(ROW(MasterList[Response])-ROW(MasterList[#Headers]))/(MasterList[Ready For Preservation]="Yes"),31))&amp;"","")</f>
        <v/>
      </c>
    </row>
    <row r="88">
      <c r="C88" s="160">
        <f>IFERROR(INDEX(MasterList[EQUIP NO],_xlfn.AGGREGATE(15,6,(ROW(MasterList[EQUIP NO])-ROW(MasterList[#Headers]))/(MasterList[Ready For Preservation]="Yes"),32))&amp;"","")</f>
        <v/>
      </c>
      <c r="D88" s="160">
        <f>IFERROR(INDEX(MasterList[Response],_xlfn.AGGREGATE(15,6,(ROW(MasterList[Response])-ROW(MasterList[#Headers]))/(MasterList[Ready For Preservation]="Yes"),32))&amp;"","")</f>
        <v/>
      </c>
    </row>
    <row r="89">
      <c r="C89" s="160">
        <f>IFERROR(INDEX(MasterList[EQUIP NO],_xlfn.AGGREGATE(15,6,(ROW(MasterList[EQUIP NO])-ROW(MasterList[#Headers]))/(MasterList[Ready For Preservation]="Yes"),33))&amp;"","")</f>
        <v/>
      </c>
      <c r="D89" s="160">
        <f>IFERROR(INDEX(MasterList[Response],_xlfn.AGGREGATE(15,6,(ROW(MasterList[Response])-ROW(MasterList[#Headers]))/(MasterList[Ready For Preservation]="Yes"),33))&amp;"","")</f>
        <v/>
      </c>
    </row>
    <row r="90">
      <c r="C90" s="160">
        <f>IFERROR(INDEX(MasterList[EQUIP NO],_xlfn.AGGREGATE(15,6,(ROW(MasterList[EQUIP NO])-ROW(MasterList[#Headers]))/(MasterList[Ready For Preservation]="Yes"),34))&amp;"","")</f>
        <v/>
      </c>
      <c r="D90" s="160">
        <f>IFERROR(INDEX(MasterList[Response],_xlfn.AGGREGATE(15,6,(ROW(MasterList[Response])-ROW(MasterList[#Headers]))/(MasterList[Ready For Preservation]="Yes"),34))&amp;"","")</f>
        <v/>
      </c>
    </row>
    <row r="91">
      <c r="C91" s="160">
        <f>IFERROR(INDEX(MasterList[EQUIP NO],_xlfn.AGGREGATE(15,6,(ROW(MasterList[EQUIP NO])-ROW(MasterList[#Headers]))/(MasterList[Ready For Preservation]="Yes"),35))&amp;"","")</f>
        <v/>
      </c>
      <c r="D91" s="160">
        <f>IFERROR(INDEX(MasterList[Response],_xlfn.AGGREGATE(15,6,(ROW(MasterList[Response])-ROW(MasterList[#Headers]))/(MasterList[Ready For Preservation]="Yes"),35))&amp;"","")</f>
        <v/>
      </c>
    </row>
    <row r="92">
      <c r="C92" s="160">
        <f>IFERROR(INDEX(MasterList[EQUIP NO],_xlfn.AGGREGATE(15,6,(ROW(MasterList[EQUIP NO])-ROW(MasterList[#Headers]))/(MasterList[Ready For Preservation]="Yes"),36))&amp;"","")</f>
        <v/>
      </c>
      <c r="D92" s="160">
        <f>IFERROR(INDEX(MasterList[Response],_xlfn.AGGREGATE(15,6,(ROW(MasterList[Response])-ROW(MasterList[#Headers]))/(MasterList[Ready For Preservation]="Yes"),36))&amp;"","")</f>
        <v/>
      </c>
    </row>
    <row r="93">
      <c r="C93" s="160">
        <f>IFERROR(INDEX(MasterList[EQUIP NO],_xlfn.AGGREGATE(15,6,(ROW(MasterList[EQUIP NO])-ROW(MasterList[#Headers]))/(MasterList[Ready For Preservation]="Yes"),37))&amp;"","")</f>
        <v/>
      </c>
      <c r="D93" s="160">
        <f>IFERROR(INDEX(MasterList[Response],_xlfn.AGGREGATE(15,6,(ROW(MasterList[Response])-ROW(MasterList[#Headers]))/(MasterList[Ready For Preservation]="Yes"),37))&amp;"","")</f>
        <v/>
      </c>
    </row>
    <row r="94">
      <c r="C94" s="160">
        <f>IFERROR(INDEX(MasterList[EQUIP NO],_xlfn.AGGREGATE(15,6,(ROW(MasterList[EQUIP NO])-ROW(MasterList[#Headers]))/(MasterList[Ready For Preservation]="Yes"),38))&amp;"","")</f>
        <v/>
      </c>
      <c r="D94" s="160">
        <f>IFERROR(INDEX(MasterList[Response],_xlfn.AGGREGATE(15,6,(ROW(MasterList[Response])-ROW(MasterList[#Headers]))/(MasterList[Ready For Preservation]="Yes"),38))&amp;"","")</f>
        <v/>
      </c>
    </row>
    <row r="95">
      <c r="C95" s="160">
        <f>IFERROR(INDEX(MasterList[EQUIP NO],_xlfn.AGGREGATE(15,6,(ROW(MasterList[EQUIP NO])-ROW(MasterList[#Headers]))/(MasterList[Ready For Preservation]="Yes"),39))&amp;"","")</f>
        <v/>
      </c>
      <c r="D95" s="160">
        <f>IFERROR(INDEX(MasterList[Response],_xlfn.AGGREGATE(15,6,(ROW(MasterList[Response])-ROW(MasterList[#Headers]))/(MasterList[Ready For Preservation]="Yes"),39))&amp;"","")</f>
        <v/>
      </c>
    </row>
    <row r="96">
      <c r="C96" s="160">
        <f>IFERROR(INDEX(MasterList[EQUIP NO],_xlfn.AGGREGATE(15,6,(ROW(MasterList[EQUIP NO])-ROW(MasterList[#Headers]))/(MasterList[Ready For Preservation]="Yes"),40))&amp;"","")</f>
        <v/>
      </c>
      <c r="D96" s="160">
        <f>IFERROR(INDEX(MasterList[Response],_xlfn.AGGREGATE(15,6,(ROW(MasterList[Response])-ROW(MasterList[#Headers]))/(MasterList[Ready For Preservation]="Yes"),40))&amp;"","")</f>
        <v/>
      </c>
    </row>
    <row r="97">
      <c r="C97" s="160">
        <f>IFERROR(INDEX(MasterList[EQUIP NO],_xlfn.AGGREGATE(15,6,(ROW(MasterList[EQUIP NO])-ROW(MasterList[#Headers]))/(MasterList[Ready For Preservation]="Yes"),41))&amp;"","")</f>
        <v/>
      </c>
      <c r="D97" s="160">
        <f>IFERROR(INDEX(MasterList[Response],_xlfn.AGGREGATE(15,6,(ROW(MasterList[Response])-ROW(MasterList[#Headers]))/(MasterList[Ready For Preservation]="Yes"),41))&amp;"","")</f>
        <v/>
      </c>
    </row>
    <row r="98">
      <c r="C98" s="160">
        <f>IFERROR(INDEX(MasterList[EQUIP NO],_xlfn.AGGREGATE(15,6,(ROW(MasterList[EQUIP NO])-ROW(MasterList[#Headers]))/(MasterList[Ready For Preservation]="Yes"),42))&amp;"","")</f>
        <v/>
      </c>
      <c r="D98" s="160">
        <f>IFERROR(INDEX(MasterList[Response],_xlfn.AGGREGATE(15,6,(ROW(MasterList[Response])-ROW(MasterList[#Headers]))/(MasterList[Ready For Preservation]="Yes"),42))&amp;"","")</f>
        <v/>
      </c>
    </row>
    <row r="99">
      <c r="C99" s="160">
        <f>IFERROR(INDEX(MasterList[EQUIP NO],_xlfn.AGGREGATE(15,6,(ROW(MasterList[EQUIP NO])-ROW(MasterList[#Headers]))/(MasterList[Ready For Preservation]="Yes"),43))&amp;"","")</f>
        <v/>
      </c>
      <c r="D99" s="160">
        <f>IFERROR(INDEX(MasterList[Response],_xlfn.AGGREGATE(15,6,(ROW(MasterList[Response])-ROW(MasterList[#Headers]))/(MasterList[Ready For Preservation]="Yes"),43))&amp;"","")</f>
        <v/>
      </c>
    </row>
    <row r="100">
      <c r="C100" s="160">
        <f>IFERROR(INDEX(MasterList[EQUIP NO],_xlfn.AGGREGATE(15,6,(ROW(MasterList[EQUIP NO])-ROW(MasterList[#Headers]))/(MasterList[Ready For Preservation]="Yes"),44))&amp;"","")</f>
        <v/>
      </c>
      <c r="D100" s="160">
        <f>IFERROR(INDEX(MasterList[Response],_xlfn.AGGREGATE(15,6,(ROW(MasterList[Response])-ROW(MasterList[#Headers]))/(MasterList[Ready For Preservation]="Yes"),44))&amp;"","")</f>
        <v/>
      </c>
    </row>
    <row r="101">
      <c r="C101" s="160">
        <f>IFERROR(INDEX(MasterList[EQUIP NO],_xlfn.AGGREGATE(15,6,(ROW(MasterList[EQUIP NO])-ROW(MasterList[#Headers]))/(MasterList[Ready For Preservation]="Yes"),45))&amp;"","")</f>
        <v/>
      </c>
      <c r="D101" s="160">
        <f>IFERROR(INDEX(MasterList[Response],_xlfn.AGGREGATE(15,6,(ROW(MasterList[Response])-ROW(MasterList[#Headers]))/(MasterList[Ready For Preservation]="Yes"),45))&amp;"","")</f>
        <v/>
      </c>
    </row>
    <row r="102">
      <c r="C102" s="160">
        <f>IFERROR(INDEX(MasterList[EQUIP NO],_xlfn.AGGREGATE(15,6,(ROW(MasterList[EQUIP NO])-ROW(MasterList[#Headers]))/(MasterList[Ready For Preservation]="Yes"),46))&amp;"","")</f>
        <v/>
      </c>
      <c r="D102" s="160">
        <f>IFERROR(INDEX(MasterList[Response],_xlfn.AGGREGATE(15,6,(ROW(MasterList[Response])-ROW(MasterList[#Headers]))/(MasterList[Ready For Preservation]="Yes"),46))&amp;"","")</f>
        <v/>
      </c>
    </row>
    <row r="103">
      <c r="C103" s="160">
        <f>IFERROR(INDEX(MasterList[EQUIP NO],_xlfn.AGGREGATE(15,6,(ROW(MasterList[EQUIP NO])-ROW(MasterList[#Headers]))/(MasterList[Ready For Preservation]="Yes"),47))&amp;"","")</f>
        <v/>
      </c>
      <c r="D103" s="160">
        <f>IFERROR(INDEX(MasterList[Response],_xlfn.AGGREGATE(15,6,(ROW(MasterList[Response])-ROW(MasterList[#Headers]))/(MasterList[Ready For Preservation]="Yes"),47))&amp;"","")</f>
        <v/>
      </c>
    </row>
    <row r="104">
      <c r="C104" s="160">
        <f>IFERROR(INDEX(MasterList[EQUIP NO],_xlfn.AGGREGATE(15,6,(ROW(MasterList[EQUIP NO])-ROW(MasterList[#Headers]))/(MasterList[Ready For Preservation]="Yes"),48))&amp;"","")</f>
        <v/>
      </c>
      <c r="D104" s="160">
        <f>IFERROR(INDEX(MasterList[Response],_xlfn.AGGREGATE(15,6,(ROW(MasterList[Response])-ROW(MasterList[#Headers]))/(MasterList[Ready For Preservation]="Yes"),48))&amp;"","")</f>
        <v/>
      </c>
    </row>
    <row r="105">
      <c r="C105" s="160">
        <f>IFERROR(INDEX(MasterList[EQUIP NO],_xlfn.AGGREGATE(15,6,(ROW(MasterList[EQUIP NO])-ROW(MasterList[#Headers]))/(MasterList[Ready For Preservation]="Yes"),49))&amp;"","")</f>
        <v/>
      </c>
      <c r="D105" s="160">
        <f>IFERROR(INDEX(MasterList[Response],_xlfn.AGGREGATE(15,6,(ROW(MasterList[Response])-ROW(MasterList[#Headers]))/(MasterList[Ready For Preservation]="Yes"),49))&amp;"","")</f>
        <v/>
      </c>
    </row>
    <row r="106">
      <c r="C106" s="160">
        <f>IFERROR(INDEX(MasterList[EQUIP NO],_xlfn.AGGREGATE(15,6,(ROW(MasterList[EQUIP NO])-ROW(MasterList[#Headers]))/(MasterList[Ready For Preservation]="Yes"),50))&amp;"","")</f>
        <v/>
      </c>
      <c r="D106" s="160">
        <f>IFERROR(INDEX(MasterList[Response],_xlfn.AGGREGATE(15,6,(ROW(MasterList[Response])-ROW(MasterList[#Headers]))/(MasterList[Ready For Preservation]="Yes"),50))&amp;"","")</f>
        <v/>
      </c>
    </row>
    <row r="107">
      <c r="C107" s="160">
        <f>IFERROR(INDEX(MasterList[EQUIP NO],_xlfn.AGGREGATE(15,6,(ROW(MasterList[EQUIP NO])-ROW(MasterList[#Headers]))/(MasterList[Ready For Preservation]="Yes"),51))&amp;"","")</f>
        <v/>
      </c>
      <c r="D107" s="160">
        <f>IFERROR(INDEX(MasterList[Response],_xlfn.AGGREGATE(15,6,(ROW(MasterList[Response])-ROW(MasterList[#Headers]))/(MasterList[Ready For Preservation]="Yes"),51))&amp;"","")</f>
        <v/>
      </c>
    </row>
    <row r="108">
      <c r="C108" s="160">
        <f>IFERROR(INDEX(MasterList[EQUIP NO],_xlfn.AGGREGATE(15,6,(ROW(MasterList[EQUIP NO])-ROW(MasterList[#Headers]))/(MasterList[Ready For Preservation]="Yes"),52))&amp;"","")</f>
        <v/>
      </c>
      <c r="D108" s="160">
        <f>IFERROR(INDEX(MasterList[Response],_xlfn.AGGREGATE(15,6,(ROW(MasterList[Response])-ROW(MasterList[#Headers]))/(MasterList[Ready For Preservation]="Yes"),52))&amp;"","")</f>
        <v/>
      </c>
    </row>
    <row r="109">
      <c r="C109" s="160">
        <f>IFERROR(INDEX(MasterList[EQUIP NO],_xlfn.AGGREGATE(15,6,(ROW(MasterList[EQUIP NO])-ROW(MasterList[#Headers]))/(MasterList[Ready For Preservation]="Yes"),53))&amp;"","")</f>
        <v/>
      </c>
      <c r="D109" s="160">
        <f>IFERROR(INDEX(MasterList[Response],_xlfn.AGGREGATE(15,6,(ROW(MasterList[Response])-ROW(MasterList[#Headers]))/(MasterList[Ready For Preservation]="Yes"),53))&amp;"","")</f>
        <v/>
      </c>
    </row>
    <row r="110">
      <c r="C110" s="160">
        <f>IFERROR(INDEX(MasterList[EQUIP NO],_xlfn.AGGREGATE(15,6,(ROW(MasterList[EQUIP NO])-ROW(MasterList[#Headers]))/(MasterList[Ready For Preservation]="Yes"),54))&amp;"","")</f>
        <v/>
      </c>
      <c r="D110" s="160">
        <f>IFERROR(INDEX(MasterList[Response],_xlfn.AGGREGATE(15,6,(ROW(MasterList[Response])-ROW(MasterList[#Headers]))/(MasterList[Ready For Preservation]="Yes"),54))&amp;"","")</f>
        <v/>
      </c>
    </row>
    <row r="111">
      <c r="C111" s="160">
        <f>IFERROR(INDEX(MasterList[EQUIP NO],_xlfn.AGGREGATE(15,6,(ROW(MasterList[EQUIP NO])-ROW(MasterList[#Headers]))/(MasterList[Ready For Preservation]="Yes"),55))&amp;"","")</f>
        <v/>
      </c>
      <c r="D111" s="160">
        <f>IFERROR(INDEX(MasterList[Response],_xlfn.AGGREGATE(15,6,(ROW(MasterList[Response])-ROW(MasterList[#Headers]))/(MasterList[Ready For Preservation]="Yes"),55))&amp;"","")</f>
        <v/>
      </c>
    </row>
    <row r="112">
      <c r="C112" s="160">
        <f>IFERROR(INDEX(MasterList[EQUIP NO],_xlfn.AGGREGATE(15,6,(ROW(MasterList[EQUIP NO])-ROW(MasterList[#Headers]))/(MasterList[Ready For Preservation]="Yes"),56))&amp;"","")</f>
        <v/>
      </c>
      <c r="D112" s="160">
        <f>IFERROR(INDEX(MasterList[Response],_xlfn.AGGREGATE(15,6,(ROW(MasterList[Response])-ROW(MasterList[#Headers]))/(MasterList[Ready For Preservation]="Yes"),56))&amp;"","")</f>
        <v/>
      </c>
    </row>
    <row r="113">
      <c r="C113" s="160">
        <f>IFERROR(INDEX(MasterList[EQUIP NO],_xlfn.AGGREGATE(15,6,(ROW(MasterList[EQUIP NO])-ROW(MasterList[#Headers]))/(MasterList[Ready For Preservation]="Yes"),57))&amp;"","")</f>
        <v/>
      </c>
      <c r="D113" s="160">
        <f>IFERROR(INDEX(MasterList[Response],_xlfn.AGGREGATE(15,6,(ROW(MasterList[Response])-ROW(MasterList[#Headers]))/(MasterList[Ready For Preservation]="Yes"),57))&amp;"","")</f>
        <v/>
      </c>
    </row>
    <row r="114">
      <c r="C114" s="160">
        <f>IFERROR(INDEX(MasterList[EQUIP NO],_xlfn.AGGREGATE(15,6,(ROW(MasterList[EQUIP NO])-ROW(MasterList[#Headers]))/(MasterList[Ready For Preservation]="Yes"),58))&amp;"","")</f>
        <v/>
      </c>
      <c r="D114" s="160">
        <f>IFERROR(INDEX(MasterList[Response],_xlfn.AGGREGATE(15,6,(ROW(MasterList[Response])-ROW(MasterList[#Headers]))/(MasterList[Ready For Preservation]="Yes"),58))&amp;"","")</f>
        <v/>
      </c>
    </row>
    <row r="115">
      <c r="C115" s="160">
        <f>IFERROR(INDEX(MasterList[EQUIP NO],_xlfn.AGGREGATE(15,6,(ROW(MasterList[EQUIP NO])-ROW(MasterList[#Headers]))/(MasterList[Ready For Preservation]="Yes"),59))&amp;"","")</f>
        <v/>
      </c>
      <c r="D115" s="160">
        <f>IFERROR(INDEX(MasterList[Response],_xlfn.AGGREGATE(15,6,(ROW(MasterList[Response])-ROW(MasterList[#Headers]))/(MasterList[Ready For Preservation]="Yes"),59))&amp;"","")</f>
        <v/>
      </c>
    </row>
    <row r="116">
      <c r="C116" s="160">
        <f>IFERROR(INDEX(MasterList[EQUIP NO],_xlfn.AGGREGATE(15,6,(ROW(MasterList[EQUIP NO])-ROW(MasterList[#Headers]))/(MasterList[Ready For Preservation]="Yes"),60))&amp;"","")</f>
        <v/>
      </c>
      <c r="D116" s="160">
        <f>IFERROR(INDEX(MasterList[Response],_xlfn.AGGREGATE(15,6,(ROW(MasterList[Response])-ROW(MasterList[#Headers]))/(MasterList[Ready For Preservation]="Yes"),60))&amp;"","")</f>
        <v/>
      </c>
    </row>
    <row r="117">
      <c r="C117" s="160">
        <f>IFERROR(INDEX(MasterList[EQUIP NO],_xlfn.AGGREGATE(15,6,(ROW(MasterList[EQUIP NO])-ROW(MasterList[#Headers]))/(MasterList[Ready For Preservation]="Yes"),61))&amp;"","")</f>
        <v/>
      </c>
      <c r="D117" s="160">
        <f>IFERROR(INDEX(MasterList[Response],_xlfn.AGGREGATE(15,6,(ROW(MasterList[Response])-ROW(MasterList[#Headers]))/(MasterList[Ready For Preservation]="Yes"),61))&amp;"","")</f>
        <v/>
      </c>
    </row>
    <row r="118">
      <c r="C118" s="160">
        <f>IFERROR(INDEX(MasterList[EQUIP NO],_xlfn.AGGREGATE(15,6,(ROW(MasterList[EQUIP NO])-ROW(MasterList[#Headers]))/(MasterList[Ready For Preservation]="Yes"),62))&amp;"","")</f>
        <v/>
      </c>
      <c r="D118" s="160">
        <f>IFERROR(INDEX(MasterList[Response],_xlfn.AGGREGATE(15,6,(ROW(MasterList[Response])-ROW(MasterList[#Headers]))/(MasterList[Ready For Preservation]="Yes"),62))&amp;"","")</f>
        <v/>
      </c>
    </row>
    <row r="119">
      <c r="C119" s="160">
        <f>IFERROR(INDEX(MasterList[EQUIP NO],_xlfn.AGGREGATE(15,6,(ROW(MasterList[EQUIP NO])-ROW(MasterList[#Headers]))/(MasterList[Ready For Preservation]="Yes"),63))&amp;"","")</f>
        <v/>
      </c>
      <c r="D119" s="160">
        <f>IFERROR(INDEX(MasterList[Response],_xlfn.AGGREGATE(15,6,(ROW(MasterList[Response])-ROW(MasterList[#Headers]))/(MasterList[Ready For Preservation]="Yes"),63))&amp;"","")</f>
        <v/>
      </c>
    </row>
    <row r="120">
      <c r="C120" s="160">
        <f>IFERROR(INDEX(MasterList[EQUIP NO],_xlfn.AGGREGATE(15,6,(ROW(MasterList[EQUIP NO])-ROW(MasterList[#Headers]))/(MasterList[Ready For Preservation]="Yes"),64))&amp;"","")</f>
        <v/>
      </c>
      <c r="D120" s="160">
        <f>IFERROR(INDEX(MasterList[Response],_xlfn.AGGREGATE(15,6,(ROW(MasterList[Response])-ROW(MasterList[#Headers]))/(MasterList[Ready For Preservation]="Yes"),64))&amp;"","")</f>
        <v/>
      </c>
    </row>
    <row r="121">
      <c r="C121" s="160">
        <f>IFERROR(INDEX(MasterList[EQUIP NO],_xlfn.AGGREGATE(15,6,(ROW(MasterList[EQUIP NO])-ROW(MasterList[#Headers]))/(MasterList[Ready For Preservation]="Yes"),65))&amp;"","")</f>
        <v/>
      </c>
      <c r="D121" s="160">
        <f>IFERROR(INDEX(MasterList[Response],_xlfn.AGGREGATE(15,6,(ROW(MasterList[Response])-ROW(MasterList[#Headers]))/(MasterList[Ready For Preservation]="Yes"),65))&amp;"","")</f>
        <v/>
      </c>
    </row>
    <row r="122">
      <c r="C122" s="160">
        <f>IFERROR(INDEX(MasterList[EQUIP NO],_xlfn.AGGREGATE(15,6,(ROW(MasterList[EQUIP NO])-ROW(MasterList[#Headers]))/(MasterList[Ready For Preservation]="Yes"),66))&amp;"","")</f>
        <v/>
      </c>
      <c r="D122" s="160">
        <f>IFERROR(INDEX(MasterList[Response],_xlfn.AGGREGATE(15,6,(ROW(MasterList[Response])-ROW(MasterList[#Headers]))/(MasterList[Ready For Preservation]="Yes"),66))&amp;"","")</f>
        <v/>
      </c>
    </row>
    <row r="123">
      <c r="C123" s="160">
        <f>IFERROR(INDEX(MasterList[EQUIP NO],_xlfn.AGGREGATE(15,6,(ROW(MasterList[EQUIP NO])-ROW(MasterList[#Headers]))/(MasterList[Ready For Preservation]="Yes"),67))&amp;"","")</f>
        <v/>
      </c>
      <c r="D123" s="160">
        <f>IFERROR(INDEX(MasterList[Response],_xlfn.AGGREGATE(15,6,(ROW(MasterList[Response])-ROW(MasterList[#Headers]))/(MasterList[Ready For Preservation]="Yes"),67))&amp;"","")</f>
        <v/>
      </c>
    </row>
    <row r="124">
      <c r="C124" s="160">
        <f>IFERROR(INDEX(MasterList[EQUIP NO],_xlfn.AGGREGATE(15,6,(ROW(MasterList[EQUIP NO])-ROW(MasterList[#Headers]))/(MasterList[Ready For Preservation]="Yes"),68))&amp;"","")</f>
        <v/>
      </c>
      <c r="D124" s="160">
        <f>IFERROR(INDEX(MasterList[Response],_xlfn.AGGREGATE(15,6,(ROW(MasterList[Response])-ROW(MasterList[#Headers]))/(MasterList[Ready For Preservation]="Yes"),68))&amp;"","")</f>
        <v/>
      </c>
    </row>
    <row r="125">
      <c r="C125" s="160">
        <f>IFERROR(INDEX(MasterList[EQUIP NO],_xlfn.AGGREGATE(15,6,(ROW(MasterList[EQUIP NO])-ROW(MasterList[#Headers]))/(MasterList[Ready For Preservation]="Yes"),69))&amp;"","")</f>
        <v/>
      </c>
      <c r="D125" s="160">
        <f>IFERROR(INDEX(MasterList[Response],_xlfn.AGGREGATE(15,6,(ROW(MasterList[Response])-ROW(MasterList[#Headers]))/(MasterList[Ready For Preservation]="Yes"),69))&amp;"","")</f>
        <v/>
      </c>
    </row>
    <row r="126">
      <c r="C126" s="160">
        <f>IFERROR(INDEX(MasterList[EQUIP NO],_xlfn.AGGREGATE(15,6,(ROW(MasterList[EQUIP NO])-ROW(MasterList[#Headers]))/(MasterList[Ready For Preservation]="Yes"),70))&amp;"","")</f>
        <v/>
      </c>
      <c r="D126" s="160">
        <f>IFERROR(INDEX(MasterList[Response],_xlfn.AGGREGATE(15,6,(ROW(MasterList[Response])-ROW(MasterList[#Headers]))/(MasterList[Ready For Preservation]="Yes"),70))&amp;"","")</f>
        <v/>
      </c>
    </row>
    <row r="127">
      <c r="C127" s="160">
        <f>IFERROR(INDEX(MasterList[EQUIP NO],_xlfn.AGGREGATE(15,6,(ROW(MasterList[EQUIP NO])-ROW(MasterList[#Headers]))/(MasterList[Ready For Preservation]="Yes"),71))&amp;"","")</f>
        <v/>
      </c>
      <c r="D127" s="160">
        <f>IFERROR(INDEX(MasterList[Response],_xlfn.AGGREGATE(15,6,(ROW(MasterList[Response])-ROW(MasterList[#Headers]))/(MasterList[Ready For Preservation]="Yes"),71))&amp;"","")</f>
        <v/>
      </c>
    </row>
    <row r="128">
      <c r="C128" s="160">
        <f>IFERROR(INDEX(MasterList[EQUIP NO],_xlfn.AGGREGATE(15,6,(ROW(MasterList[EQUIP NO])-ROW(MasterList[#Headers]))/(MasterList[Ready For Preservation]="Yes"),72))&amp;"","")</f>
        <v/>
      </c>
      <c r="D128" s="160">
        <f>IFERROR(INDEX(MasterList[Response],_xlfn.AGGREGATE(15,6,(ROW(MasterList[Response])-ROW(MasterList[#Headers]))/(MasterList[Ready For Preservation]="Yes"),72))&amp;"","")</f>
        <v/>
      </c>
    </row>
    <row r="129">
      <c r="C129" s="160">
        <f>IFERROR(INDEX(MasterList[EQUIP NO],_xlfn.AGGREGATE(15,6,(ROW(MasterList[EQUIP NO])-ROW(MasterList[#Headers]))/(MasterList[Ready For Preservation]="Yes"),73))&amp;"","")</f>
        <v/>
      </c>
      <c r="D129" s="160">
        <f>IFERROR(INDEX(MasterList[Response],_xlfn.AGGREGATE(15,6,(ROW(MasterList[Response])-ROW(MasterList[#Headers]))/(MasterList[Ready For Preservation]="Yes"),73))&amp;"","")</f>
        <v/>
      </c>
    </row>
    <row r="130">
      <c r="C130" s="160">
        <f>IFERROR(INDEX(MasterList[EQUIP NO],_xlfn.AGGREGATE(15,6,(ROW(MasterList[EQUIP NO])-ROW(MasterList[#Headers]))/(MasterList[Ready For Preservation]="Yes"),74))&amp;"","")</f>
        <v/>
      </c>
      <c r="D130" s="160">
        <f>IFERROR(INDEX(MasterList[Response],_xlfn.AGGREGATE(15,6,(ROW(MasterList[Response])-ROW(MasterList[#Headers]))/(MasterList[Ready For Preservation]="Yes"),74))&amp;"","")</f>
        <v/>
      </c>
    </row>
    <row r="131">
      <c r="C131" s="160">
        <f>IFERROR(INDEX(MasterList[EQUIP NO],_xlfn.AGGREGATE(15,6,(ROW(MasterList[EQUIP NO])-ROW(MasterList[#Headers]))/(MasterList[Ready For Preservation]="Yes"),75))&amp;"","")</f>
        <v/>
      </c>
      <c r="D131" s="160">
        <f>IFERROR(INDEX(MasterList[Response],_xlfn.AGGREGATE(15,6,(ROW(MasterList[Response])-ROW(MasterList[#Headers]))/(MasterList[Ready For Preservation]="Yes"),75))&amp;"","")</f>
        <v/>
      </c>
    </row>
    <row r="132">
      <c r="C132" s="160">
        <f>IFERROR(INDEX(MasterList[EQUIP NO],_xlfn.AGGREGATE(15,6,(ROW(MasterList[EQUIP NO])-ROW(MasterList[#Headers]))/(MasterList[Ready For Preservation]="Yes"),76))&amp;"","")</f>
        <v/>
      </c>
      <c r="D132" s="160">
        <f>IFERROR(INDEX(MasterList[Response],_xlfn.AGGREGATE(15,6,(ROW(MasterList[Response])-ROW(MasterList[#Headers]))/(MasterList[Ready For Preservation]="Yes"),76))&amp;"","")</f>
        <v/>
      </c>
    </row>
    <row r="133">
      <c r="C133" s="160">
        <f>IFERROR(INDEX(MasterList[EQUIP NO],_xlfn.AGGREGATE(15,6,(ROW(MasterList[EQUIP NO])-ROW(MasterList[#Headers]))/(MasterList[Ready For Preservation]="Yes"),77))&amp;"","")</f>
        <v/>
      </c>
      <c r="D133" s="160">
        <f>IFERROR(INDEX(MasterList[Response],_xlfn.AGGREGATE(15,6,(ROW(MasterList[Response])-ROW(MasterList[#Headers]))/(MasterList[Ready For Preservation]="Yes"),77))&amp;"","")</f>
        <v/>
      </c>
    </row>
    <row r="134">
      <c r="C134" s="160">
        <f>IFERROR(INDEX(MasterList[EQUIP NO],_xlfn.AGGREGATE(15,6,(ROW(MasterList[EQUIP NO])-ROW(MasterList[#Headers]))/(MasterList[Ready For Preservation]="Yes"),78))&amp;"","")</f>
        <v/>
      </c>
      <c r="D134" s="160">
        <f>IFERROR(INDEX(MasterList[Response],_xlfn.AGGREGATE(15,6,(ROW(MasterList[Response])-ROW(MasterList[#Headers]))/(MasterList[Ready For Preservation]="Yes"),78))&amp;"","")</f>
        <v/>
      </c>
    </row>
    <row r="135">
      <c r="C135" s="160">
        <f>IFERROR(INDEX(MasterList[EQUIP NO],_xlfn.AGGREGATE(15,6,(ROW(MasterList[EQUIP NO])-ROW(MasterList[#Headers]))/(MasterList[Ready For Preservation]="Yes"),79))&amp;"","")</f>
        <v/>
      </c>
      <c r="D135" s="160">
        <f>IFERROR(INDEX(MasterList[Response],_xlfn.AGGREGATE(15,6,(ROW(MasterList[Response])-ROW(MasterList[#Headers]))/(MasterList[Ready For Preservation]="Yes"),79))&amp;"","")</f>
        <v/>
      </c>
    </row>
    <row r="136">
      <c r="C136" s="160">
        <f>IFERROR(INDEX(MasterList[EQUIP NO],_xlfn.AGGREGATE(15,6,(ROW(MasterList[EQUIP NO])-ROW(MasterList[#Headers]))/(MasterList[Ready For Preservation]="Yes"),80))&amp;"","")</f>
        <v/>
      </c>
      <c r="D136" s="160">
        <f>IFERROR(INDEX(MasterList[Response],_xlfn.AGGREGATE(15,6,(ROW(MasterList[Response])-ROW(MasterList[#Headers]))/(MasterList[Ready For Preservation]="Yes"),80))&amp;"","")</f>
        <v/>
      </c>
    </row>
  </sheetData>
  <mergeCells count="10">
    <mergeCell ref="C2:K2"/>
    <mergeCell ref="B30:C30"/>
    <mergeCell ref="B44:C44"/>
    <mergeCell ref="C11:K11"/>
    <mergeCell ref="B47:C47"/>
    <mergeCell ref="B48:C48"/>
    <mergeCell ref="B42:C42"/>
    <mergeCell ref="C3:K3"/>
    <mergeCell ref="B43:C43"/>
    <mergeCell ref="B46:H46"/>
  </mergeCells>
  <conditionalFormatting sqref="I5:I9">
    <cfRule type="dataBar" priority="1">
      <dataBar>
        <cfvo type="num" val="0"/>
        <cfvo type="num" val="1"/>
        <color rgb="0070AD47"/>
      </dataBar>
    </cfRule>
  </conditionalFormatting>
  <conditionalFormatting sqref="K13:K16">
    <cfRule type="dataBar" priority="2">
      <dataBar>
        <cfvo type="num" val="0"/>
        <cfvo type="num" val="1"/>
        <color rgb="0070AD47"/>
      </dataBar>
    </cfRule>
  </conditionalFormatting>
  <conditionalFormatting sqref="C57:D136">
    <cfRule type="expression" priority="3" dxfId="27">
      <formula>$C57&lt;&gt;""</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showGridLines="0" tabSelected="0" workbookViewId="0">
      <selection activeCell="A1" sqref="A1"/>
    </sheetView>
  </sheetViews>
  <sheetFormatPr baseColWidth="8" defaultRowHeight="15"/>
  <cols>
    <col width="2.7109375" customWidth="1" min="1" max="1"/>
    <col width="28.7109375" customWidth="1" min="2" max="2"/>
    <col width="4.28515625" customWidth="1" min="3" max="3"/>
    <col width="81.28515625" customWidth="1" min="4" max="4"/>
    <col width="93.28515625" customWidth="1" min="5" max="5"/>
    <col width="8.85546875" customWidth="1" min="6" max="6"/>
  </cols>
  <sheetData>
    <row r="1"/>
    <row r="2" ht="15.6" customHeight="1"/>
    <row r="3" ht="15.6" customHeight="1">
      <c r="B3" s="161" t="inlineStr">
        <is>
          <t xml:space="preserve">Equipment Category </t>
        </is>
      </c>
      <c r="C3" s="162" t="inlineStr">
        <is>
          <t xml:space="preserve">Qty </t>
        </is>
      </c>
      <c r="D3" s="163" t="inlineStr">
        <is>
          <t xml:space="preserve">Reason for Not Preserving / Current Position </t>
        </is>
      </c>
      <c r="E3" s="164" t="inlineStr">
        <is>
          <t xml:space="preserve">Proposed Action </t>
        </is>
      </c>
    </row>
    <row r="4" ht="76.90000000000001" customHeight="1">
      <c r="B4" s="165" t="inlineStr">
        <is>
          <t xml:space="preserve">Static &amp; Rotating Equipment </t>
        </is>
      </c>
      <c r="C4" s="166" t="inlineStr">
        <is>
          <t xml:space="preserve">44 </t>
        </is>
      </c>
      <c r="D4" s="167" t="inlineStr">
        <is>
          <t xml:space="preserve">Limited time for startup. Equipment is currently under inspection/testing, ongoing maintenance/refurbishment, or cleaning, removed from site, or awaiting clearance. Full long-term preservation cannot be completed within the available window before start-up. </t>
        </is>
      </c>
      <c r="E4" s="168" t="inlineStr">
        <is>
          <t xml:space="preserve">Complete all outstanding inspection, cleaning, and maintenance activities. Once equipment is released, to protect the equipment, apply temporary nitrogen blanketing where applicable if a reasonable gap remains before pre-commissioning/start-up. Otherwise, proceed directly to pre-commissioning/commissioning with the required inspection and readiness checks. </t>
        </is>
      </c>
    </row>
    <row r="5" ht="76.90000000000001" customHeight="1">
      <c r="B5" s="165" t="inlineStr">
        <is>
          <t xml:space="preserve">Electrical Motors </t>
        </is>
      </c>
      <c r="C5" s="166" t="inlineStr">
        <is>
          <t xml:space="preserve">55 </t>
        </is>
      </c>
      <c r="D5" s="167" t="inlineStr">
        <is>
          <t xml:space="preserve">Limited time for startup. Motors are new/refurbished and are returning to site from the workshop with applicable test reports. Required electrical tests/checks will also be completed as part of pre-commissioning. With the limited period before start-up, carrying out the same checks again solely to satisfy the preservation cycle would duplicate the pre-commissioning activities. </t>
        </is>
      </c>
      <c r="E5" s="168" t="inlineStr">
        <is>
          <t xml:space="preserve">Review and retain the workshop test reports, complete the applicable pre-commissioning tests/checks, and use these records as evidence of equipment condition/readiness. Do not repeat equivalent tests separately under preservation within the short period before start-up. </t>
        </is>
      </c>
    </row>
    <row r="6" ht="76.90000000000001" customHeight="1">
      <c r="B6" s="169" t="inlineStr">
        <is>
          <t xml:space="preserve">E&amp;I Items </t>
        </is>
      </c>
      <c r="C6" s="170" t="inlineStr">
        <is>
          <t xml:space="preserve">9 </t>
        </is>
      </c>
      <c r="D6" s="171" t="inlineStr">
        <is>
          <t xml:space="preserve">Limited time for startup. Applicable E&amp;I inspection, functional checks and testing are being covered under the pre-commissioning scope. Performing equivalent checks again under preservation immediately before pre-commissioning would result in duplication with limited technical benefit due to the short interval before start-up. </t>
        </is>
      </c>
      <c r="E6" s="172" t="inlineStr">
        <is>
          <t xml:space="preserve">Complete the applicable E&amp;I pre-commissioning inspections/checks/tests and maintain the resulting records as documentary evidence. Avoid repeating equivalent preservation checks/tests where they are already covered by the pre-commissioning scope, subject to Operations approval. </t>
        </is>
      </c>
    </row>
    <row r="7" ht="15.6" customHeight="1">
      <c r="B7" s="173" t="inlineStr">
        <is>
          <t xml:space="preserve">Total </t>
        </is>
      </c>
      <c r="C7" s="174" t="inlineStr">
        <is>
          <t xml:space="preserve">108 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14"/>
  <sheetViews>
    <sheetView showGridLines="0" tabSelected="0" workbookViewId="0">
      <selection activeCell="A1" sqref="A1"/>
    </sheetView>
  </sheetViews>
  <sheetFormatPr baseColWidth="8" defaultRowHeight="15"/>
  <cols>
    <col width="10" customWidth="1" min="2" max="2"/>
    <col width="8" customWidth="1" min="3" max="3"/>
    <col width="40" customWidth="1" min="4" max="4"/>
    <col width="18" customWidth="1" min="5" max="5"/>
    <col width="26" customWidth="1" min="6" max="6"/>
    <col width="40" customWidth="1" min="7" max="7"/>
    <col width="40" customWidth="1" min="8" max="8"/>
  </cols>
  <sheetData>
    <row r="2">
      <c r="B2" s="157" t="inlineStr">
        <is>
          <t>DASHBOARD CATEGORIES (written by K Data on every export)</t>
        </is>
      </c>
    </row>
    <row r="3">
      <c r="B3" s="158" t="inlineStr">
        <is>
          <t>• Categories are created and edited in K Data &gt; Dashboard Categories, not in this sheet.</t>
        </is>
      </c>
    </row>
    <row r="4">
      <c r="B4" s="158" t="inlineStr">
        <is>
          <t>• Code (Cat1, Cat2…) is what the engineer picks in the Hold Category / N/A Category columns of the master list.</t>
        </is>
      </c>
    </row>
    <row r="5">
      <c r="B5" s="158" t="inlineStr">
        <is>
          <t>• The Dashboard reads this table: one row per category, in this order.</t>
        </is>
      </c>
    </row>
    <row r="7">
      <c r="B7" s="109" t="inlineStr">
        <is>
          <t>Section</t>
        </is>
      </c>
      <c r="C7" s="109" t="inlineStr">
        <is>
          <t>Code</t>
        </is>
      </c>
      <c r="D7" s="109" t="inlineStr">
        <is>
          <t>Description</t>
        </is>
      </c>
      <c r="E7" s="109" t="inlineStr">
        <is>
          <t>Action By</t>
        </is>
      </c>
      <c r="F7" s="109" t="inlineStr">
        <is>
          <t>Email Action</t>
        </is>
      </c>
      <c r="G7" s="109" t="inlineStr">
        <is>
          <t>EnerMech Recommendation</t>
        </is>
      </c>
      <c r="H7" s="109" t="inlineStr">
        <is>
          <t>Note</t>
        </is>
      </c>
    </row>
    <row r="8">
      <c r="B8" s="115" t="inlineStr">
        <is>
          <t>Hold</t>
        </is>
      </c>
      <c r="C8" s="115" t="inlineStr">
        <is>
          <t>Cat1</t>
        </is>
      </c>
      <c r="D8" s="115" t="inlineStr">
        <is>
          <t>Conflict Between DNV and EnerMech</t>
        </is>
      </c>
      <c r="E8" s="115" t="inlineStr">
        <is>
          <t>PF/DNV</t>
        </is>
      </c>
      <c r="F8" s="115" t="inlineStr">
        <is>
          <t>Done(16&amp;17, 22 Oct 26)</t>
        </is>
      </c>
      <c r="G8" s="115" t="inlineStr">
        <is>
          <t>Preservation Not Requried</t>
        </is>
      </c>
      <c r="H8" s="115" t="inlineStr">
        <is>
          <t>Email 26 Oct: Petrofac confirmed these are tube bundles</t>
        </is>
      </c>
    </row>
    <row r="9">
      <c r="B9" s="115" t="inlineStr">
        <is>
          <t>Hold</t>
        </is>
      </c>
      <c r="C9" s="115" t="inlineStr">
        <is>
          <t>Cat2</t>
        </is>
      </c>
      <c r="D9" s="115" t="inlineStr">
        <is>
          <t>Level Transferred to Min Possible</t>
        </is>
      </c>
      <c r="E9" s="115" t="inlineStr">
        <is>
          <t>CPY Ops/PF</t>
        </is>
      </c>
      <c r="F9" s="115" t="inlineStr">
        <is>
          <t>Done(16 Oct 26)</t>
        </is>
      </c>
      <c r="G9" s="115" t="inlineStr">
        <is>
          <t>Only cleaning required, No preservation required</t>
        </is>
      </c>
      <c r="H9" s="115" t="inlineStr">
        <is>
          <t>EnerMech: Boil out cleaning proposed to Petrofac</t>
        </is>
      </c>
    </row>
    <row r="10">
      <c r="B10" s="115" t="inlineStr">
        <is>
          <t>Hold</t>
        </is>
      </c>
      <c r="C10" s="115" t="inlineStr">
        <is>
          <t>Cat3</t>
        </is>
      </c>
      <c r="D10" s="115" t="inlineStr">
        <is>
          <t>DNV inspection is ongoing</t>
        </is>
      </c>
      <c r="E10" s="115" t="inlineStr">
        <is>
          <t>PF/DNV</t>
        </is>
      </c>
      <c r="F10" s="115" t="inlineStr">
        <is>
          <t>Done(16 Oct 26)</t>
        </is>
      </c>
      <c r="G10" s="115" t="inlineStr">
        <is>
          <t>Preservation Not Requried</t>
        </is>
      </c>
      <c r="H10" s="115" t="n"/>
    </row>
    <row r="11">
      <c r="B11" s="115" t="inlineStr">
        <is>
          <t>Hold</t>
        </is>
      </c>
      <c r="C11" s="115" t="inlineStr">
        <is>
          <t>Cat4</t>
        </is>
      </c>
      <c r="D11" s="115" t="inlineStr">
        <is>
          <t>Under integrity Testing /Hydro Test</t>
        </is>
      </c>
      <c r="E11" s="115" t="inlineStr">
        <is>
          <t>CPY Ops/PF</t>
        </is>
      </c>
      <c r="F11" s="115" t="inlineStr">
        <is>
          <t>Done(16 Oct 26)</t>
        </is>
      </c>
      <c r="G11" s="115" t="inlineStr">
        <is>
          <t>Preservation Not Requried</t>
        </is>
      </c>
      <c r="H11" s="115" t="n"/>
    </row>
    <row r="12">
      <c r="B12" s="115" t="inlineStr">
        <is>
          <t>Hold</t>
        </is>
      </c>
      <c r="C12" s="115" t="inlineStr">
        <is>
          <t>Cat5</t>
        </is>
      </c>
      <c r="D12" s="115" t="inlineStr">
        <is>
          <t>Under Installation/work-ongoing</t>
        </is>
      </c>
      <c r="E12" s="115" t="inlineStr">
        <is>
          <t>PF</t>
        </is>
      </c>
      <c r="F12" s="115" t="inlineStr">
        <is>
          <t>Done(16 Oct 26)</t>
        </is>
      </c>
      <c r="G12" s="115" t="inlineStr">
        <is>
          <t>Installation complete, internal work on-going</t>
        </is>
      </c>
      <c r="H12" s="115" t="inlineStr">
        <is>
          <t>Installation complete, internal work on-going</t>
        </is>
      </c>
    </row>
    <row r="13">
      <c r="B13" s="115" t="inlineStr">
        <is>
          <t>N/A</t>
        </is>
      </c>
      <c r="C13" s="115" t="inlineStr">
        <is>
          <t>Cat1</t>
        </is>
      </c>
      <c r="D13" s="115" t="inlineStr">
        <is>
          <t>Removed from Site</t>
        </is>
      </c>
      <c r="E13" s="115" t="inlineStr">
        <is>
          <t>CPY Ops/PF</t>
        </is>
      </c>
      <c r="F13" s="115" t="inlineStr">
        <is>
          <t>Done(16 Oct 26)</t>
        </is>
      </c>
      <c r="G13" s="115" t="inlineStr">
        <is>
          <t>Preservation Not Requried</t>
        </is>
      </c>
      <c r="H13" s="115" t="n"/>
    </row>
    <row r="14">
      <c r="B14" s="115" t="inlineStr">
        <is>
          <t>N/A</t>
        </is>
      </c>
      <c r="C14" s="115" t="inlineStr">
        <is>
          <t>Cat2</t>
        </is>
      </c>
      <c r="D14" s="115" t="inlineStr">
        <is>
          <t>To be replaced under P5-DBN PJ</t>
        </is>
      </c>
      <c r="E14" s="115" t="inlineStr">
        <is>
          <t>Info</t>
        </is>
      </c>
      <c r="F14" s="115" t="inlineStr">
        <is>
          <t>Done(16 Oct 26)</t>
        </is>
      </c>
      <c r="G14" s="115" t="inlineStr">
        <is>
          <t>Preservation Not Applicable</t>
        </is>
      </c>
      <c r="H14" s="115"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Suyog Bhamare (ADNOC Gas - CED)</dc:creator>
  <dcterms:created xmlns:dcterms="http://purl.org/dc/terms/" xmlns:xsi="http://www.w3.org/2001/XMLSchema-instance" xsi:type="dcterms:W3CDTF">2026-09-16T11:27:58Z</dcterms:created>
  <dcterms:modified xmlns:dcterms="http://purl.org/dc/terms/" xmlns:xsi="http://www.w3.org/2001/XMLSchema-instance" xsi:type="dcterms:W3CDTF">2026-10-28T06:22:28Z</dcterms:modified>
  <cp:lastModifiedBy>Mudassar Shaik</cp:lastModifiedBy>
</cp:coreProperties>
</file>

<file path=docProps/custom.xml><?xml version="1.0" encoding="utf-8"?>
<Properties xmlns="http://schemas.openxmlformats.org/officeDocument/2006/custom-properties">
  <property name="MSIP_Label_775a2e7c-70fb-426a-9b9f-efd6a35da554_Enabled" fmtid="{D5CDD505-2E9C-101B-9397-08002B2CF9AE}" pid="2">
    <vt:lpwstr xmlns:vt="http://schemas.openxmlformats.org/officeDocument/2006/docPropsVTypes">true</vt:lpwstr>
  </property>
  <property name="MSIP_Label_775a2e7c-70fb-426a-9b9f-efd6a35da554_SetDate" fmtid="{D5CDD505-2E9C-101B-9397-08002B2CF9AE}" pid="3">
    <vt:lpwstr xmlns:vt="http://schemas.openxmlformats.org/officeDocument/2006/docPropsVTypes">2026-09-16T11:32:25Z</vt:lpwstr>
  </property>
  <property name="MSIP_Label_775a2e7c-70fb-426a-9b9f-efd6a35da554_Method" fmtid="{D5CDD505-2E9C-101B-9397-08002B2CF9AE}" pid="4">
    <vt:lpwstr xmlns:vt="http://schemas.openxmlformats.org/officeDocument/2006/docPropsVTypes">Standard</vt:lpwstr>
  </property>
  <property name="MSIP_Label_775a2e7c-70fb-426a-9b9f-efd6a35da554_Name" fmtid="{D5CDD505-2E9C-101B-9397-08002B2CF9AE}" pid="5">
    <vt:lpwstr xmlns:vt="http://schemas.openxmlformats.org/officeDocument/2006/docPropsVTypes">No Additional Protection0</vt:lpwstr>
  </property>
  <property name="MSIP_Label_775a2e7c-70fb-426a-9b9f-efd6a35da554_SiteId" fmtid="{D5CDD505-2E9C-101B-9397-08002B2CF9AE}" pid="6">
    <vt:lpwstr xmlns:vt="http://schemas.openxmlformats.org/officeDocument/2006/docPropsVTypes">74892fe7-b6cb-43e7-912b-52194d3fd7c8</vt:lpwstr>
  </property>
  <property name="MSIP_Label_775a2e7c-70fb-426a-9b9f-efd6a35da554_ActionId" fmtid="{D5CDD505-2E9C-101B-9397-08002B2CF9AE}" pid="7">
    <vt:lpwstr xmlns:vt="http://schemas.openxmlformats.org/officeDocument/2006/docPropsVTypes">1e4a9290-cd2c-4436-8688-91d267bb7649</vt:lpwstr>
  </property>
  <property name="MSIP_Label_775a2e7c-70fb-426a-9b9f-efd6a35da554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0x0101000B31CB1A040A5E4CBA0D5A30A02E80A2</vt:lpwstr>
  </property>
</Properties>
</file>